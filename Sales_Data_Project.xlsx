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44d877da0c7951ae/ドキュメント/"/>
    </mc:Choice>
  </mc:AlternateContent>
  <xr:revisionPtr revIDLastSave="754" documentId="8_{481D3D3E-6BDD-4763-A3EE-4E2A3FD0F32B}" xr6:coauthVersionLast="47" xr6:coauthVersionMax="47" xr10:uidLastSave="{FC083B64-07F4-4E75-B856-B9FDED924A49}"/>
  <bookViews>
    <workbookView xWindow="-108" yWindow="-108" windowWidth="23256" windowHeight="12456" firstSheet="2" activeTab="7" xr2:uid="{D8816BE9-1B11-4DCB-AFC8-9F94A8B64A2E}"/>
  </bookViews>
  <sheets>
    <sheet name="Category Analysis" sheetId="3" r:id="rId1"/>
    <sheet name="Region Analysis" sheetId="4" r:id="rId2"/>
    <sheet name="Product Analysis" sheetId="5" r:id="rId3"/>
    <sheet name="Dashboard" sheetId="7" r:id="rId4"/>
    <sheet name="Monthly Analysis" sheetId="6" r:id="rId5"/>
    <sheet name="Raw Data" sheetId="1" r:id="rId6"/>
    <sheet name="Analysis" sheetId="2" r:id="rId7"/>
    <sheet name="Documentation" sheetId="9" r:id="rId8"/>
  </sheets>
  <definedNames>
    <definedName name="_xlnm._FilterDatabase" localSheetId="5" hidden="1">'Raw Data'!$A$1:$M$1</definedName>
    <definedName name="Slicer_Category">#N/A</definedName>
    <definedName name="Slicer_Payment_Mode">#N/A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7" l="1"/>
  <c r="J4" i="7"/>
  <c r="M4" i="7"/>
  <c r="G4" i="7"/>
  <c r="D5" i="4"/>
  <c r="D6" i="4"/>
  <c r="D7" i="4"/>
  <c r="D4" i="4"/>
  <c r="D6" i="3"/>
  <c r="D5" i="3"/>
  <c r="D4" i="3"/>
  <c r="B6" i="2"/>
  <c r="B5" i="2"/>
  <c r="B4" i="2"/>
  <c r="B3" i="2"/>
  <c r="B2"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2" i="1"/>
  <c r="K2" i="1" s="1"/>
  <c r="K9" i="1" l="1"/>
  <c r="K16" i="1"/>
  <c r="K15" i="1"/>
  <c r="K14" i="1"/>
  <c r="K6" i="1"/>
  <c r="K25" i="1"/>
  <c r="K23" i="1"/>
  <c r="K22" i="1"/>
  <c r="K17" i="1"/>
  <c r="K24" i="1"/>
  <c r="K31" i="1"/>
  <c r="K7" i="1"/>
  <c r="K30" i="1"/>
  <c r="K13" i="1"/>
  <c r="K28" i="1"/>
  <c r="K12" i="1"/>
  <c r="K27" i="1"/>
  <c r="K19" i="1"/>
  <c r="K11" i="1"/>
  <c r="K3" i="1"/>
  <c r="K29" i="1"/>
  <c r="K5" i="1"/>
  <c r="K20" i="1"/>
  <c r="K4" i="1"/>
  <c r="K26" i="1"/>
  <c r="K18" i="1"/>
  <c r="K10" i="1"/>
  <c r="K21" i="1"/>
  <c r="K8" i="1"/>
</calcChain>
</file>

<file path=xl/sharedStrings.xml><?xml version="1.0" encoding="utf-8"?>
<sst xmlns="http://schemas.openxmlformats.org/spreadsheetml/2006/main" count="287" uniqueCount="156">
  <si>
    <t>Order ID</t>
  </si>
  <si>
    <t>Order Date</t>
  </si>
  <si>
    <t>Customer Name</t>
  </si>
  <si>
    <t>Region</t>
  </si>
  <si>
    <t>Category</t>
  </si>
  <si>
    <t>Product</t>
  </si>
  <si>
    <t>Quantity</t>
  </si>
  <si>
    <t>Unit Price</t>
  </si>
  <si>
    <t>Sales</t>
  </si>
  <si>
    <t>Discount</t>
  </si>
  <si>
    <t>Profit</t>
  </si>
  <si>
    <t>Payment Mode</t>
  </si>
  <si>
    <t>ORD1001</t>
  </si>
  <si>
    <t>Rahul Sharma</t>
  </si>
  <si>
    <t>North</t>
  </si>
  <si>
    <t>Electronics</t>
  </si>
  <si>
    <t>Wireless Mouse</t>
  </si>
  <si>
    <t>UPI</t>
  </si>
  <si>
    <t>ORD1002</t>
  </si>
  <si>
    <t>Priya Verma</t>
  </si>
  <si>
    <t>West</t>
  </si>
  <si>
    <t>Furniture</t>
  </si>
  <si>
    <t>Office Chair</t>
  </si>
  <si>
    <t>Card</t>
  </si>
  <si>
    <t>ORD1003</t>
  </si>
  <si>
    <t>Aman Gupta</t>
  </si>
  <si>
    <t>Keyboard</t>
  </si>
  <si>
    <t>ORD1004</t>
  </si>
  <si>
    <t>Neha Singh</t>
  </si>
  <si>
    <t>South</t>
  </si>
  <si>
    <t>Stationery</t>
  </si>
  <si>
    <t>Notebook Set</t>
  </si>
  <si>
    <t>Cash</t>
  </si>
  <si>
    <t>ORD1005</t>
  </si>
  <si>
    <t>Rohit Kumar</t>
  </si>
  <si>
    <t>East</t>
  </si>
  <si>
    <t>Headphones</t>
  </si>
  <si>
    <t>ORD1006</t>
  </si>
  <si>
    <t>Simran Kaur</t>
  </si>
  <si>
    <t>Study Table</t>
  </si>
  <si>
    <t>ORD1007</t>
  </si>
  <si>
    <t>Arjun Mehta</t>
  </si>
  <si>
    <t>Pen Pack</t>
  </si>
  <si>
    <t>ORD1008</t>
  </si>
  <si>
    <t>Kavya Jain</t>
  </si>
  <si>
    <t>Monitor</t>
  </si>
  <si>
    <t>ORD1009</t>
  </si>
  <si>
    <t>Mohit Agarwal</t>
  </si>
  <si>
    <t>Bookshelf</t>
  </si>
  <si>
    <t>ORD1010</t>
  </si>
  <si>
    <t>Anjali Gupta</t>
  </si>
  <si>
    <t>File Folder</t>
  </si>
  <si>
    <t>ORD1011</t>
  </si>
  <si>
    <t>Karan Malhotra</t>
  </si>
  <si>
    <t>Webcam</t>
  </si>
  <si>
    <t>ORD1012</t>
  </si>
  <si>
    <t>Pooja Sharma</t>
  </si>
  <si>
    <t>Office Desk</t>
  </si>
  <si>
    <t>ORD1013</t>
  </si>
  <si>
    <t>Varun Singh</t>
  </si>
  <si>
    <t>USB Hub</t>
  </si>
  <si>
    <t>ORD1014</t>
  </si>
  <si>
    <t>Riya Kapoor</t>
  </si>
  <si>
    <t>ORD1015</t>
  </si>
  <si>
    <t>Yash Verma</t>
  </si>
  <si>
    <t>ORD1016</t>
  </si>
  <si>
    <t>Sneha Gupta</t>
  </si>
  <si>
    <t>Laptop Stand</t>
  </si>
  <si>
    <t>ORD1017</t>
  </si>
  <si>
    <t>Aditya Jain</t>
  </si>
  <si>
    <t>ORD1018</t>
  </si>
  <si>
    <t>Meera Singh</t>
  </si>
  <si>
    <t>ORD1019</t>
  </si>
  <si>
    <t>Nitin Kumar</t>
  </si>
  <si>
    <t>ORD1020</t>
  </si>
  <si>
    <t>Tanya Sharma</t>
  </si>
  <si>
    <t>ORD1021</t>
  </si>
  <si>
    <t>Deepak Verma</t>
  </si>
  <si>
    <t>ORD1022</t>
  </si>
  <si>
    <t>Ishita Gupta</t>
  </si>
  <si>
    <t>ORD1023</t>
  </si>
  <si>
    <t>Manish Agarwal</t>
  </si>
  <si>
    <t>ORD1024</t>
  </si>
  <si>
    <t>Nisha Jain</t>
  </si>
  <si>
    <t>ORD1025</t>
  </si>
  <si>
    <t>Saurabh Singh</t>
  </si>
  <si>
    <t>ORD1026</t>
  </si>
  <si>
    <t>Ayesha Khan</t>
  </si>
  <si>
    <t>ORD1027</t>
  </si>
  <si>
    <t>Harsh Gupta</t>
  </si>
  <si>
    <t>ORD1028</t>
  </si>
  <si>
    <t>Divya Sharma</t>
  </si>
  <si>
    <t>ORD1029</t>
  </si>
  <si>
    <t>Akash Verma</t>
  </si>
  <si>
    <t>ORD1030</t>
  </si>
  <si>
    <t>Muskan Jain</t>
  </si>
  <si>
    <t>Cost%</t>
  </si>
  <si>
    <t>KPI</t>
  </si>
  <si>
    <t>Value</t>
  </si>
  <si>
    <t>Total Sales</t>
  </si>
  <si>
    <t>Total Profit</t>
  </si>
  <si>
    <t>Total Quantity</t>
  </si>
  <si>
    <t>Average Order Value</t>
  </si>
  <si>
    <t>Profit Margin</t>
  </si>
  <si>
    <t>Row Labels</t>
  </si>
  <si>
    <t>Grand Total</t>
  </si>
  <si>
    <t>Sum of Sales</t>
  </si>
  <si>
    <t>Sum of Profit</t>
  </si>
  <si>
    <t>Jan</t>
  </si>
  <si>
    <t>Feb</t>
  </si>
  <si>
    <t>Mar</t>
  </si>
  <si>
    <t>Apr</t>
  </si>
  <si>
    <t>May</t>
  </si>
  <si>
    <t>Sales Data Analysis &amp; Interactive Dashboard</t>
  </si>
  <si>
    <t>Project Objective</t>
  </si>
  <si>
    <t>The objective of this project is to analyze sales data using Microsoft Excel, identify key sales and profitability trends, evaluate product, category and regional performance, calculate important KPIs, and create an interactive dashboard to support data-driven business decisions.</t>
  </si>
  <si>
    <t>Microsoft Excel</t>
  </si>
  <si>
    <t>Excel Tables</t>
  </si>
  <si>
    <t>Basic Excel Formulas</t>
  </si>
  <si>
    <r>
      <t>IF</t>
    </r>
    <r>
      <rPr>
        <sz val="11"/>
        <color theme="1"/>
        <rFont val="Aptos Narrow"/>
        <family val="2"/>
        <scheme val="minor"/>
      </rPr>
      <t xml:space="preserve"> Function</t>
    </r>
  </si>
  <si>
    <r>
      <t>SUM</t>
    </r>
    <r>
      <rPr>
        <sz val="11"/>
        <color theme="1"/>
        <rFont val="Aptos Narrow"/>
        <family val="2"/>
        <scheme val="minor"/>
      </rPr>
      <t xml:space="preserve"> / </t>
    </r>
    <r>
      <rPr>
        <sz val="10"/>
        <color theme="1"/>
        <rFont val="Arial Unicode MS"/>
      </rPr>
      <t>AVERAGE</t>
    </r>
  </si>
  <si>
    <t>Percentage Calculations</t>
  </si>
  <si>
    <t>Data Cleaning &amp; Validation</t>
  </si>
  <si>
    <t>Pivot Tables</t>
  </si>
  <si>
    <t>Pivot Table Analysis</t>
  </si>
  <si>
    <t>Charts</t>
  </si>
  <si>
    <t>Slicers</t>
  </si>
  <si>
    <t>Interactive Dashboard</t>
  </si>
  <si>
    <t>KPI Analysis</t>
  </si>
  <si>
    <t>Data Analysis Process</t>
  </si>
  <si>
    <t>Tools &amp; Techniques Used</t>
  </si>
  <si>
    <r>
      <t>Data Collection</t>
    </r>
    <r>
      <rPr>
        <sz val="12"/>
        <color theme="1"/>
        <rFont val="Aptos Narrow"/>
        <family val="2"/>
        <scheme val="minor"/>
      </rPr>
      <t xml:space="preserve"> – Organized the sales dataset in Microsoft Excel.</t>
    </r>
  </si>
  <si>
    <r>
      <t>Data Cleaning &amp; Validation</t>
    </r>
    <r>
      <rPr>
        <sz val="12"/>
        <color theme="1"/>
        <rFont val="Aptos Narrow"/>
        <family val="2"/>
        <scheme val="minor"/>
      </rPr>
      <t xml:space="preserve"> – Checked for duplicate Order IDs, blank cells, and inconsistencies in categories and regions.</t>
    </r>
  </si>
  <si>
    <r>
      <t>Data Preparation</t>
    </r>
    <r>
      <rPr>
        <sz val="12"/>
        <color theme="1"/>
        <rFont val="Aptos Narrow"/>
        <family val="2"/>
        <scheme val="minor"/>
      </rPr>
      <t xml:space="preserve"> – Calculated Sales, Cost Percentage, and Profit using Excel formulas.</t>
    </r>
  </si>
  <si>
    <r>
      <t>KPI Analysis</t>
    </r>
    <r>
      <rPr>
        <sz val="12"/>
        <color theme="1"/>
        <rFont val="Aptos Narrow"/>
        <family val="2"/>
        <scheme val="minor"/>
      </rPr>
      <t xml:space="preserve"> – Calculated Total Sales, Total Profit, Total Quantity, Average Order Value, and Profit Margin.</t>
    </r>
  </si>
  <si>
    <r>
      <t>Data Analysis &amp; Visualization</t>
    </r>
    <r>
      <rPr>
        <sz val="12"/>
        <color theme="1"/>
        <rFont val="Aptos Narrow"/>
        <family val="2"/>
        <scheme val="minor"/>
      </rPr>
      <t xml:space="preserve"> – Used Pivot Tables and charts to analyze category, regional, product, and monthly performance.</t>
    </r>
  </si>
  <si>
    <r>
      <t>Dashboard Creation</t>
    </r>
    <r>
      <rPr>
        <sz val="12"/>
        <color theme="1"/>
        <rFont val="Aptos Narrow"/>
        <family val="2"/>
        <scheme val="minor"/>
      </rPr>
      <t xml:space="preserve"> – Combined KPIs, charts, and interactive Slicers to create an interactive sales dashboard.</t>
    </r>
  </si>
  <si>
    <t>Key Performance Indicators (KPIs)</t>
  </si>
  <si>
    <t>Result</t>
  </si>
  <si>
    <t>Total Quantity Sold</t>
  </si>
  <si>
    <t>Key Business Insights</t>
  </si>
  <si>
    <r>
      <t>Furniture</t>
    </r>
    <r>
      <rPr>
        <sz val="11"/>
        <color theme="1"/>
        <rFont val="Aptos Narrow"/>
        <family val="2"/>
        <scheme val="minor"/>
      </rPr>
      <t xml:space="preserve"> generated the highest sales of </t>
    </r>
    <r>
      <rPr>
        <b/>
        <sz val="11"/>
        <color theme="1"/>
        <rFont val="Aptos Narrow"/>
        <family val="2"/>
        <scheme val="minor"/>
      </rPr>
      <t>₹1,11,930</t>
    </r>
    <r>
      <rPr>
        <sz val="11"/>
        <color theme="1"/>
        <rFont val="Aptos Narrow"/>
        <family val="2"/>
        <scheme val="minor"/>
      </rPr>
      <t xml:space="preserve"> and the highest total profit of </t>
    </r>
    <r>
      <rPr>
        <b/>
        <sz val="11"/>
        <color theme="1"/>
        <rFont val="Aptos Narrow"/>
        <family val="2"/>
        <scheme val="minor"/>
      </rPr>
      <t>₹33,579</t>
    </r>
    <r>
      <rPr>
        <sz val="11"/>
        <color theme="1"/>
        <rFont val="Aptos Narrow"/>
        <family val="2"/>
        <scheme val="minor"/>
      </rPr>
      <t>.</t>
    </r>
  </si>
  <si>
    <r>
      <t>Stationery</t>
    </r>
    <r>
      <rPr>
        <sz val="11"/>
        <color theme="1"/>
        <rFont val="Aptos Narrow"/>
        <family val="2"/>
        <scheme val="minor"/>
      </rPr>
      <t xml:space="preserve"> achieved the highest profit margin of </t>
    </r>
    <r>
      <rPr>
        <b/>
        <sz val="11"/>
        <color theme="1"/>
        <rFont val="Aptos Narrow"/>
        <family val="2"/>
        <scheme val="minor"/>
      </rPr>
      <t>40%</t>
    </r>
    <r>
      <rPr>
        <sz val="11"/>
        <color theme="1"/>
        <rFont val="Aptos Narrow"/>
        <family val="2"/>
        <scheme val="minor"/>
      </rPr>
      <t>, indicating strong profitability despite lower sales volume.</t>
    </r>
  </si>
  <si>
    <r>
      <t>South Region</t>
    </r>
    <r>
      <rPr>
        <sz val="11"/>
        <color theme="1"/>
        <rFont val="Aptos Narrow"/>
        <family val="2"/>
        <scheme val="minor"/>
      </rPr>
      <t xml:space="preserve"> recorded the highest sales of </t>
    </r>
    <r>
      <rPr>
        <b/>
        <sz val="11"/>
        <color theme="1"/>
        <rFont val="Aptos Narrow"/>
        <family val="2"/>
        <scheme val="minor"/>
      </rPr>
      <t>₹65,904</t>
    </r>
    <r>
      <rPr>
        <sz val="11"/>
        <color theme="1"/>
        <rFont val="Aptos Narrow"/>
        <family val="2"/>
        <scheme val="minor"/>
      </rPr>
      <t xml:space="preserve"> and the highest total profit of </t>
    </r>
    <r>
      <rPr>
        <b/>
        <sz val="11"/>
        <color theme="1"/>
        <rFont val="Aptos Narrow"/>
        <family val="2"/>
        <scheme val="minor"/>
      </rPr>
      <t>₹18,673.50</t>
    </r>
    <r>
      <rPr>
        <sz val="11"/>
        <color theme="1"/>
        <rFont val="Aptos Narrow"/>
        <family val="2"/>
        <scheme val="minor"/>
      </rPr>
      <t>.</t>
    </r>
  </si>
  <si>
    <r>
      <t>Office Chair</t>
    </r>
    <r>
      <rPr>
        <sz val="11"/>
        <color theme="1"/>
        <rFont val="Aptos Narrow"/>
        <family val="2"/>
        <scheme val="minor"/>
      </rPr>
      <t xml:space="preserve"> was the top-performing product, generating </t>
    </r>
    <r>
      <rPr>
        <b/>
        <sz val="11"/>
        <color theme="1"/>
        <rFont val="Aptos Narrow"/>
        <family val="2"/>
        <scheme val="minor"/>
      </rPr>
      <t>₹36,720 in sales</t>
    </r>
    <r>
      <rPr>
        <sz val="11"/>
        <color theme="1"/>
        <rFont val="Aptos Narrow"/>
        <family val="2"/>
        <scheme val="minor"/>
      </rPr>
      <t xml:space="preserve"> and </t>
    </r>
    <r>
      <rPr>
        <b/>
        <sz val="11"/>
        <color theme="1"/>
        <rFont val="Aptos Narrow"/>
        <family val="2"/>
        <scheme val="minor"/>
      </rPr>
      <t>₹11,016 in profit</t>
    </r>
    <r>
      <rPr>
        <sz val="11"/>
        <color theme="1"/>
        <rFont val="Aptos Narrow"/>
        <family val="2"/>
        <scheme val="minor"/>
      </rPr>
      <t>.</t>
    </r>
  </si>
  <si>
    <r>
      <t>April</t>
    </r>
    <r>
      <rPr>
        <sz val="11"/>
        <color theme="1"/>
        <rFont val="Aptos Narrow"/>
        <family val="2"/>
        <scheme val="minor"/>
      </rPr>
      <t xml:space="preserve"> recorded the highest monthly sales of </t>
    </r>
    <r>
      <rPr>
        <b/>
        <sz val="11"/>
        <color theme="1"/>
        <rFont val="Aptos Narrow"/>
        <family val="2"/>
        <scheme val="minor"/>
      </rPr>
      <t>₹55,229</t>
    </r>
    <r>
      <rPr>
        <sz val="11"/>
        <color theme="1"/>
        <rFont val="Aptos Narrow"/>
        <family val="2"/>
        <scheme val="minor"/>
      </rPr>
      <t xml:space="preserve">, while </t>
    </r>
    <r>
      <rPr>
        <b/>
        <sz val="11"/>
        <color theme="1"/>
        <rFont val="Aptos Narrow"/>
        <family val="2"/>
        <scheme val="minor"/>
      </rPr>
      <t>January</t>
    </r>
    <r>
      <rPr>
        <sz val="11"/>
        <color theme="1"/>
        <rFont val="Aptos Narrow"/>
        <family val="2"/>
        <scheme val="minor"/>
      </rPr>
      <t xml:space="preserve"> recorded the lowest sales of </t>
    </r>
    <r>
      <rPr>
        <b/>
        <sz val="11"/>
        <color theme="1"/>
        <rFont val="Aptos Narrow"/>
        <family val="2"/>
        <scheme val="minor"/>
      </rPr>
      <t>₹26,704.50</t>
    </r>
    <r>
      <rPr>
        <sz val="11"/>
        <color theme="1"/>
        <rFont val="Aptos Narrow"/>
        <family val="2"/>
        <scheme val="minor"/>
      </rPr>
      <t>.</t>
    </r>
  </si>
  <si>
    <t>Dashboard Features</t>
  </si>
  <si>
    <r>
      <t>KPI Cards</t>
    </r>
    <r>
      <rPr>
        <sz val="11"/>
        <color theme="1"/>
        <rFont val="Aptos Narrow"/>
        <family val="2"/>
        <scheme val="minor"/>
      </rPr>
      <t xml:space="preserve"> – Displays Total Sales, Total Profit, Total Quantity, Average Order Value, and Profit Margin.</t>
    </r>
  </si>
  <si>
    <r>
      <t>Monthly Sales Trend</t>
    </r>
    <r>
      <rPr>
        <sz val="11"/>
        <color theme="1"/>
        <rFont val="Aptos Narrow"/>
        <family val="2"/>
        <scheme val="minor"/>
      </rPr>
      <t xml:space="preserve"> – Shows monthly sales performance from January to May.</t>
    </r>
  </si>
  <si>
    <r>
      <t>Category-wise Sales Analysis</t>
    </r>
    <r>
      <rPr>
        <sz val="11"/>
        <color theme="1"/>
        <rFont val="Aptos Narrow"/>
        <family val="2"/>
        <scheme val="minor"/>
      </rPr>
      <t xml:space="preserve"> – Compares sales performance across Electronics, Furniture, and Stationery.</t>
    </r>
  </si>
  <si>
    <r>
      <t>Region-wise Sales Analysis</t>
    </r>
    <r>
      <rPr>
        <sz val="11"/>
        <color theme="1"/>
        <rFont val="Aptos Narrow"/>
        <family val="2"/>
        <scheme val="minor"/>
      </rPr>
      <t xml:space="preserve"> – Compares sales performance across East, North, South, and West regions.</t>
    </r>
  </si>
  <si>
    <r>
      <t>Top 5 Products Analysis</t>
    </r>
    <r>
      <rPr>
        <sz val="11"/>
        <color theme="1"/>
        <rFont val="Aptos Narrow"/>
        <family val="2"/>
        <scheme val="minor"/>
      </rPr>
      <t xml:space="preserve"> – Highlights the five products with the highest sales.</t>
    </r>
  </si>
  <si>
    <r>
      <t>Interactive Slicers</t>
    </r>
    <r>
      <rPr>
        <sz val="11"/>
        <color theme="1"/>
        <rFont val="Aptos Narrow"/>
        <family val="2"/>
        <scheme val="minor"/>
      </rPr>
      <t xml:space="preserve"> – Allows users to filter the dashboard by Region, Category, and Payment Mode.</t>
    </r>
  </si>
  <si>
    <r>
      <t>Interactive Dashboard</t>
    </r>
    <r>
      <rPr>
        <sz val="11"/>
        <color theme="1"/>
        <rFont val="Aptos Narrow"/>
        <family val="2"/>
        <scheme val="minor"/>
      </rPr>
      <t xml:space="preserve"> – Combines KPIs, charts, and filters into a single view for easy business analysis.</t>
    </r>
  </si>
  <si>
    <t>Conclusion</t>
  </si>
  <si>
    <t>This project successfully demonstrates the use of Microsoft Excel for analyzing sales data and generating meaningful business insights. The analysis covered sales, profitability, product performance, category performance, regional performance, and monthly trends. An interactive dashboard was developed using Pivot Tables, charts, KPIs, and Slicers, enabling users to explore the data and identify important business trends efficiently.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</si>
</sst>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9">
    <font>
      <sz val="11"/>
      <color theme="1"/>
      <name val="Aptos Narrow"/>
      <family val="2"/>
      <scheme val="minor"/>
    </font>
    <font>
      <sz val="11"/>
      <color theme="1"/>
      <name val="Aptos Narrow"/>
      <family val="2"/>
      <scheme val="minor"/>
    </font>
    <font>
      <b/>
      <sz val="11"/>
      <color theme="1"/>
      <name val="Aptos Narrow"/>
      <family val="2"/>
      <scheme val="minor"/>
    </font>
    <font>
      <b/>
      <sz val="20"/>
      <color theme="1"/>
      <name val="Aptos Narrow"/>
      <family val="2"/>
      <scheme val="minor"/>
    </font>
    <font>
      <b/>
      <sz val="14"/>
      <color theme="1"/>
      <name val="Aptos Narrow"/>
      <family val="2"/>
      <scheme val="minor"/>
    </font>
    <font>
      <sz val="12"/>
      <color theme="1"/>
      <name val="Aptos Narrow"/>
      <family val="2"/>
      <scheme val="minor"/>
    </font>
    <font>
      <sz val="14"/>
      <color theme="1"/>
      <name val="Aptos Narrow"/>
      <family val="2"/>
      <scheme val="minor"/>
    </font>
    <font>
      <sz val="10"/>
      <color theme="1"/>
      <name val="Arial Unicode MS"/>
    </font>
    <font>
      <b/>
      <sz val="12"/>
      <color theme="1"/>
      <name val="Aptos Narrow"/>
      <family val="2"/>
      <scheme val="minor"/>
    </font>
  </fonts>
  <fills count="7">
    <fill>
      <patternFill patternType="none"/>
    </fill>
    <fill>
      <patternFill patternType="gray125"/>
    </fill>
    <fill>
      <patternFill patternType="solid">
        <fgColor theme="3" tint="0.74999237037263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0" fontId="0" fillId="0" borderId="1" xfId="0" applyBorder="1"/>
    <xf numFmtId="0" fontId="0" fillId="0" borderId="1" xfId="0" applyBorder="1" applyAlignment="1">
      <alignment vertical="center" wrapText="1"/>
    </xf>
    <xf numFmtId="15" fontId="0" fillId="0" borderId="1" xfId="0" applyNumberFormat="1" applyBorder="1" applyAlignment="1">
      <alignment vertical="center" wrapText="1"/>
    </xf>
    <xf numFmtId="0" fontId="0" fillId="0" borderId="1" xfId="0" applyBorder="1" applyAlignment="1">
      <alignment horizontal="right" vertical="center" wrapText="1"/>
    </xf>
    <xf numFmtId="9" fontId="0" fillId="0" borderId="1" xfId="0" applyNumberFormat="1" applyBorder="1" applyAlignment="1">
      <alignment horizontal="right" vertical="center" wrapText="1"/>
    </xf>
    <xf numFmtId="9" fontId="0" fillId="0" borderId="1" xfId="0" applyNumberFormat="1" applyBorder="1"/>
    <xf numFmtId="164" fontId="0" fillId="0" borderId="1" xfId="0" applyNumberFormat="1" applyBorder="1" applyAlignment="1">
      <alignment horizontal="right" vertical="center" wrapText="1"/>
    </xf>
    <xf numFmtId="164" fontId="0" fillId="0" borderId="1" xfId="0" applyNumberFormat="1" applyBorder="1"/>
    <xf numFmtId="0" fontId="0" fillId="0" borderId="2" xfId="0"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164" fontId="2" fillId="0" borderId="4" xfId="0" applyNumberFormat="1" applyFont="1" applyBorder="1" applyAlignment="1">
      <alignment vertical="center" wrapText="1"/>
    </xf>
    <xf numFmtId="0" fontId="0" fillId="0" borderId="5" xfId="0" applyBorder="1" applyAlignment="1">
      <alignment vertical="center" wrapText="1"/>
    </xf>
    <xf numFmtId="15" fontId="0" fillId="0" borderId="6" xfId="0" applyNumberFormat="1" applyBorder="1" applyAlignment="1">
      <alignment vertical="center" wrapText="1"/>
    </xf>
    <xf numFmtId="0" fontId="0" fillId="0" borderId="6" xfId="0" applyBorder="1" applyAlignment="1">
      <alignment vertical="center" wrapText="1"/>
    </xf>
    <xf numFmtId="0" fontId="0" fillId="0" borderId="6" xfId="0" applyBorder="1" applyAlignment="1">
      <alignment horizontal="right" vertical="center" wrapText="1"/>
    </xf>
    <xf numFmtId="164" fontId="0" fillId="0" borderId="6" xfId="0" applyNumberFormat="1" applyBorder="1" applyAlignment="1">
      <alignment horizontal="right" vertical="center" wrapText="1"/>
    </xf>
    <xf numFmtId="9" fontId="0" fillId="0" borderId="6" xfId="0" applyNumberFormat="1" applyBorder="1" applyAlignment="1">
      <alignment horizontal="right" vertical="center" wrapText="1"/>
    </xf>
    <xf numFmtId="9" fontId="0" fillId="0" borderId="6" xfId="0" applyNumberFormat="1" applyBorder="1"/>
    <xf numFmtId="9" fontId="0" fillId="0" borderId="0" xfId="1" applyFont="1"/>
    <xf numFmtId="0" fontId="0" fillId="0" borderId="0" xfId="0" pivotButton="1"/>
    <xf numFmtId="0" fontId="0" fillId="0" borderId="0" xfId="0" applyAlignment="1">
      <alignment horizontal="left"/>
    </xf>
    <xf numFmtId="164" fontId="0" fillId="0" borderId="0" xfId="0" applyNumberFormat="1"/>
    <xf numFmtId="0" fontId="3" fillId="0" borderId="0" xfId="0" applyFont="1"/>
    <xf numFmtId="0" fontId="0" fillId="0" borderId="0" xfId="0" applyAlignment="1">
      <alignment horizontal="center"/>
    </xf>
    <xf numFmtId="0" fontId="4" fillId="5" borderId="0" xfId="0" applyFont="1" applyFill="1" applyAlignment="1">
      <alignment horizontal="center"/>
    </xf>
    <xf numFmtId="2" fontId="2" fillId="5" borderId="0" xfId="0" applyNumberFormat="1" applyFont="1" applyFill="1" applyAlignment="1">
      <alignment horizontal="center"/>
    </xf>
    <xf numFmtId="0" fontId="4" fillId="6" borderId="0" xfId="0" applyFont="1" applyFill="1" applyAlignment="1">
      <alignment horizontal="center"/>
    </xf>
    <xf numFmtId="9" fontId="2" fillId="6" borderId="0" xfId="0" applyNumberFormat="1" applyFont="1" applyFill="1" applyAlignment="1">
      <alignment horizontal="center"/>
    </xf>
    <xf numFmtId="0" fontId="2" fillId="6" borderId="0" xfId="0" applyFont="1" applyFill="1" applyAlignment="1">
      <alignment horizontal="center"/>
    </xf>
    <xf numFmtId="0" fontId="4" fillId="2" borderId="0" xfId="0" applyFont="1" applyFill="1" applyAlignment="1">
      <alignment horizontal="center"/>
    </xf>
    <xf numFmtId="164" fontId="2" fillId="2" borderId="0" xfId="0" applyNumberFormat="1" applyFont="1" applyFill="1" applyAlignment="1">
      <alignment horizontal="center"/>
    </xf>
    <xf numFmtId="0" fontId="4" fillId="3" borderId="0" xfId="0" applyFont="1" applyFill="1" applyAlignment="1">
      <alignment horizontal="center"/>
    </xf>
    <xf numFmtId="164" fontId="2" fillId="3" borderId="0" xfId="0" applyNumberFormat="1" applyFont="1" applyFill="1" applyAlignment="1">
      <alignment horizontal="center"/>
    </xf>
    <xf numFmtId="0" fontId="4" fillId="4" borderId="0" xfId="0" applyFont="1" applyFill="1" applyAlignment="1">
      <alignment horizontal="center"/>
    </xf>
    <xf numFmtId="0" fontId="2" fillId="4" borderId="0" xfId="0" applyFont="1" applyFill="1" applyAlignment="1">
      <alignment horizontal="center"/>
    </xf>
    <xf numFmtId="0" fontId="2" fillId="0" borderId="0" xfId="0" applyFont="1"/>
    <xf numFmtId="0" fontId="7" fillId="0" borderId="0" xfId="0" applyFont="1"/>
    <xf numFmtId="0" fontId="4" fillId="0" borderId="0" xfId="0" applyFont="1"/>
    <xf numFmtId="0" fontId="5" fillId="0" borderId="0" xfId="0" applyFont="1"/>
    <xf numFmtId="0" fontId="8" fillId="0" borderId="0" xfId="0" applyFont="1"/>
    <xf numFmtId="0" fontId="6" fillId="0" borderId="0" xfId="0" applyFont="1"/>
    <xf numFmtId="3" fontId="0" fillId="0" borderId="0" xfId="0" applyNumberFormat="1"/>
    <xf numFmtId="9" fontId="0" fillId="0" borderId="0" xfId="0" applyNumberFormat="1"/>
  </cellXfs>
  <cellStyles count="2">
    <cellStyle name="Normal" xfId="0" builtinId="0"/>
    <cellStyle name="Percent" xfId="1" builtinId="5"/>
  </cellStyles>
  <dxfs count="18">
    <dxf>
      <font>
        <color rgb="FF9C0006"/>
      </font>
      <fill>
        <patternFill>
          <bgColor rgb="FFFFC7CE"/>
        </patternFill>
      </fill>
    </dxf>
    <dxf>
      <numFmt numFmtId="13" formatCode="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 #,##0.00"/>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 #,##0.00"/>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 #,##0.00"/>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[Sales_Data_Project.xlsx]Category Analysis!PivotTable1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Sum of Sales</c:v>
                </c:pt>
              </c:strCache>
            </c:strRef>
          </c:tx>
          <c:spPr>
            <a:solidFill>
              <a:schemeClr val="accent1"/>
            </a:solidFill>
            <a:ln>
              <a:noFill/>
            </a:ln>
            <a:effectLst/>
          </c:spPr>
          <c:invertIfNegative val="0"/>
          <c:cat>
            <c:strRef>
              <c:f>'Category Analysis'!$A$4:$A$7</c:f>
              <c:strCache>
                <c:ptCount val="3"/>
                <c:pt idx="0">
                  <c:v>Electronics</c:v>
                </c:pt>
                <c:pt idx="1">
                  <c:v>Furniture</c:v>
                </c:pt>
                <c:pt idx="2">
                  <c:v>Stationery</c:v>
                </c:pt>
              </c:strCache>
            </c:strRef>
          </c:cat>
          <c:val>
            <c:numRef>
              <c:f>'Category Analysis'!$B$4:$B$7</c:f>
              <c:numCache>
                <c:formatCode>"₹"\ #,##0.00</c:formatCode>
                <c:ptCount val="3"/>
                <c:pt idx="0">
                  <c:v>92596</c:v>
                </c:pt>
                <c:pt idx="1">
                  <c:v>111930</c:v>
                </c:pt>
                <c:pt idx="2">
                  <c:v>19300</c:v>
                </c:pt>
              </c:numCache>
            </c:numRef>
          </c:val>
          <c:extLst>
            <c:ext xmlns:c16="http://schemas.microsoft.com/office/drawing/2014/chart" uri="{C3380CC4-5D6E-409C-BE32-E72D297353CC}">
              <c16:uniqueId val="{00000000-1CB0-4380-AC48-20899ACD62E8}"/>
            </c:ext>
          </c:extLst>
        </c:ser>
        <c:ser>
          <c:idx val="1"/>
          <c:order val="1"/>
          <c:tx>
            <c:strRef>
              <c:f>'Category Analysis'!$C$3</c:f>
              <c:strCache>
                <c:ptCount val="1"/>
                <c:pt idx="0">
                  <c:v>Sum of Profit</c:v>
                </c:pt>
              </c:strCache>
            </c:strRef>
          </c:tx>
          <c:spPr>
            <a:solidFill>
              <a:schemeClr val="accent2"/>
            </a:solidFill>
            <a:ln>
              <a:noFill/>
            </a:ln>
            <a:effectLst/>
          </c:spPr>
          <c:invertIfNegative val="0"/>
          <c:cat>
            <c:strRef>
              <c:f>'Category Analysis'!$A$4:$A$7</c:f>
              <c:strCache>
                <c:ptCount val="3"/>
                <c:pt idx="0">
                  <c:v>Electronics</c:v>
                </c:pt>
                <c:pt idx="1">
                  <c:v>Furniture</c:v>
                </c:pt>
                <c:pt idx="2">
                  <c:v>Stationery</c:v>
                </c:pt>
              </c:strCache>
            </c:strRef>
          </c:cat>
          <c:val>
            <c:numRef>
              <c:f>'Category Analysis'!$C$4:$C$7</c:f>
              <c:numCache>
                <c:formatCode>"₹"\ #,##0.00</c:formatCode>
                <c:ptCount val="3"/>
                <c:pt idx="0">
                  <c:v>23149</c:v>
                </c:pt>
                <c:pt idx="1">
                  <c:v>33579</c:v>
                </c:pt>
                <c:pt idx="2">
                  <c:v>7720</c:v>
                </c:pt>
              </c:numCache>
            </c:numRef>
          </c:val>
          <c:extLst>
            <c:ext xmlns:c16="http://schemas.microsoft.com/office/drawing/2014/chart" uri="{C3380CC4-5D6E-409C-BE32-E72D297353CC}">
              <c16:uniqueId val="{00000001-7565-497E-8ED9-330E42D71515}"/>
            </c:ext>
          </c:extLst>
        </c:ser>
        <c:dLbls>
          <c:showLegendKey val="0"/>
          <c:showVal val="0"/>
          <c:showCatName val="0"/>
          <c:showSerName val="0"/>
          <c:showPercent val="0"/>
          <c:showBubbleSize val="0"/>
        </c:dLbls>
        <c:gapWidth val="219"/>
        <c:overlap val="-27"/>
        <c:axId val="917436912"/>
        <c:axId val="703542160"/>
      </c:barChart>
      <c:catAx>
        <c:axId val="91743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542160"/>
        <c:crosses val="autoZero"/>
        <c:auto val="1"/>
        <c:lblAlgn val="ctr"/>
        <c:lblOffset val="100"/>
        <c:noMultiLvlLbl val="0"/>
      </c:catAx>
      <c:valAx>
        <c:axId val="703542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43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[Sales_Data_Project.xlsx]Category Analysis!PivotTable1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Sum of Sales</c:v>
                </c:pt>
              </c:strCache>
            </c:strRef>
          </c:tx>
          <c:spPr>
            <a:solidFill>
              <a:schemeClr val="accent1"/>
            </a:solidFill>
            <a:ln>
              <a:noFill/>
            </a:ln>
            <a:effectLst/>
          </c:spPr>
          <c:invertIfNegative val="0"/>
          <c:cat>
            <c:strRef>
              <c:f>'Category Analysis'!$A$4:$A$7</c:f>
              <c:strCache>
                <c:ptCount val="3"/>
                <c:pt idx="0">
                  <c:v>Electronics</c:v>
                </c:pt>
                <c:pt idx="1">
                  <c:v>Furniture</c:v>
                </c:pt>
                <c:pt idx="2">
                  <c:v>Stationery</c:v>
                </c:pt>
              </c:strCache>
            </c:strRef>
          </c:cat>
          <c:val>
            <c:numRef>
              <c:f>'Category Analysis'!$B$4:$B$7</c:f>
              <c:numCache>
                <c:formatCode>"₹"\ #,##0.00</c:formatCode>
                <c:ptCount val="3"/>
                <c:pt idx="0">
                  <c:v>92596</c:v>
                </c:pt>
                <c:pt idx="1">
                  <c:v>111930</c:v>
                </c:pt>
                <c:pt idx="2">
                  <c:v>19300</c:v>
                </c:pt>
              </c:numCache>
            </c:numRef>
          </c:val>
          <c:extLst>
            <c:ext xmlns:c16="http://schemas.microsoft.com/office/drawing/2014/chart" uri="{C3380CC4-5D6E-409C-BE32-E72D297353CC}">
              <c16:uniqueId val="{00000000-9D61-4599-9C82-CE111310A24A}"/>
            </c:ext>
          </c:extLst>
        </c:ser>
        <c:ser>
          <c:idx val="1"/>
          <c:order val="1"/>
          <c:tx>
            <c:strRef>
              <c:f>'Category Analysis'!$C$3</c:f>
              <c:strCache>
                <c:ptCount val="1"/>
                <c:pt idx="0">
                  <c:v>Sum of Profit</c:v>
                </c:pt>
              </c:strCache>
            </c:strRef>
          </c:tx>
          <c:spPr>
            <a:solidFill>
              <a:schemeClr val="accent2"/>
            </a:solidFill>
            <a:ln>
              <a:noFill/>
            </a:ln>
            <a:effectLst/>
          </c:spPr>
          <c:invertIfNegative val="0"/>
          <c:cat>
            <c:strRef>
              <c:f>'Category Analysis'!$A$4:$A$7</c:f>
              <c:strCache>
                <c:ptCount val="3"/>
                <c:pt idx="0">
                  <c:v>Electronics</c:v>
                </c:pt>
                <c:pt idx="1">
                  <c:v>Furniture</c:v>
                </c:pt>
                <c:pt idx="2">
                  <c:v>Stationery</c:v>
                </c:pt>
              </c:strCache>
            </c:strRef>
          </c:cat>
          <c:val>
            <c:numRef>
              <c:f>'Category Analysis'!$C$4:$C$7</c:f>
              <c:numCache>
                <c:formatCode>"₹"\ #,##0.00</c:formatCode>
                <c:ptCount val="3"/>
                <c:pt idx="0">
                  <c:v>23149</c:v>
                </c:pt>
                <c:pt idx="1">
                  <c:v>33579</c:v>
                </c:pt>
                <c:pt idx="2">
                  <c:v>7720</c:v>
                </c:pt>
              </c:numCache>
            </c:numRef>
          </c:val>
          <c:extLst>
            <c:ext xmlns:c16="http://schemas.microsoft.com/office/drawing/2014/chart" uri="{C3380CC4-5D6E-409C-BE32-E72D297353CC}">
              <c16:uniqueId val="{00000001-468B-4FB8-8E13-E66B37185D0F}"/>
            </c:ext>
          </c:extLst>
        </c:ser>
        <c:dLbls>
          <c:showLegendKey val="0"/>
          <c:showVal val="0"/>
          <c:showCatName val="0"/>
          <c:showSerName val="0"/>
          <c:showPercent val="0"/>
          <c:showBubbleSize val="0"/>
        </c:dLbls>
        <c:gapWidth val="219"/>
        <c:overlap val="-27"/>
        <c:axId val="636475744"/>
        <c:axId val="703497520"/>
      </c:barChart>
      <c:catAx>
        <c:axId val="63647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497520"/>
        <c:crosses val="autoZero"/>
        <c:auto val="1"/>
        <c:lblAlgn val="ctr"/>
        <c:lblOffset val="100"/>
        <c:noMultiLvlLbl val="0"/>
      </c:catAx>
      <c:valAx>
        <c:axId val="703497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47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[Sales_Data_Project.xlsx]Monthly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5082063239949"/>
          <c:y val="0.32331902522601336"/>
          <c:w val="0.55701254886057694"/>
          <c:h val="0.42264280766987461"/>
        </c:manualLayout>
      </c:layout>
      <c:lineChart>
        <c:grouping val="standard"/>
        <c:varyColors val="0"/>
        <c:ser>
          <c:idx val="0"/>
          <c:order val="0"/>
          <c:tx>
            <c:strRef>
              <c:f>'Monthly 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Analysis'!$A$4:$A$9</c:f>
              <c:strCache>
                <c:ptCount val="5"/>
                <c:pt idx="0">
                  <c:v>Jan</c:v>
                </c:pt>
                <c:pt idx="1">
                  <c:v>Feb</c:v>
                </c:pt>
                <c:pt idx="2">
                  <c:v>Mar</c:v>
                </c:pt>
                <c:pt idx="3">
                  <c:v>Apr</c:v>
                </c:pt>
                <c:pt idx="4">
                  <c:v>May</c:v>
                </c:pt>
              </c:strCache>
            </c:strRef>
          </c:cat>
          <c:val>
            <c:numRef>
              <c:f>'Monthly Analysis'!$B$4:$B$9</c:f>
              <c:numCache>
                <c:formatCode>"₹"\ #,##0.00</c:formatCode>
                <c:ptCount val="5"/>
                <c:pt idx="0">
                  <c:v>26704.5</c:v>
                </c:pt>
                <c:pt idx="1">
                  <c:v>52462.5</c:v>
                </c:pt>
                <c:pt idx="2">
                  <c:v>41330</c:v>
                </c:pt>
                <c:pt idx="3">
                  <c:v>55229</c:v>
                </c:pt>
                <c:pt idx="4">
                  <c:v>48100</c:v>
                </c:pt>
              </c:numCache>
            </c:numRef>
          </c:val>
          <c:smooth val="0"/>
          <c:extLst>
            <c:ext xmlns:c16="http://schemas.microsoft.com/office/drawing/2014/chart" uri="{C3380CC4-5D6E-409C-BE32-E72D297353CC}">
              <c16:uniqueId val="{00000000-34B1-4078-8190-F14CBCD68DB7}"/>
            </c:ext>
          </c:extLst>
        </c:ser>
        <c:dLbls>
          <c:showLegendKey val="0"/>
          <c:showVal val="0"/>
          <c:showCatName val="0"/>
          <c:showSerName val="0"/>
          <c:showPercent val="0"/>
          <c:showBubbleSize val="0"/>
        </c:dLbls>
        <c:marker val="1"/>
        <c:smooth val="0"/>
        <c:axId val="2118114096"/>
        <c:axId val="1116118640"/>
      </c:lineChart>
      <c:catAx>
        <c:axId val="211811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118640"/>
        <c:crosses val="autoZero"/>
        <c:auto val="1"/>
        <c:lblAlgn val="ctr"/>
        <c:lblOffset val="100"/>
        <c:noMultiLvlLbl val="0"/>
      </c:catAx>
      <c:valAx>
        <c:axId val="111611864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1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[Sales_Data_Project.xlsx]Category Analysis!PivotTable1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Sum of Sales</c:v>
                </c:pt>
              </c:strCache>
            </c:strRef>
          </c:tx>
          <c:spPr>
            <a:solidFill>
              <a:schemeClr val="accent1"/>
            </a:solidFill>
            <a:ln>
              <a:noFill/>
            </a:ln>
            <a:effectLst/>
          </c:spPr>
          <c:invertIfNegative val="0"/>
          <c:cat>
            <c:strRef>
              <c:f>'Category Analysis'!$A$4:$A$7</c:f>
              <c:strCache>
                <c:ptCount val="3"/>
                <c:pt idx="0">
                  <c:v>Electronics</c:v>
                </c:pt>
                <c:pt idx="1">
                  <c:v>Furniture</c:v>
                </c:pt>
                <c:pt idx="2">
                  <c:v>Stationery</c:v>
                </c:pt>
              </c:strCache>
            </c:strRef>
          </c:cat>
          <c:val>
            <c:numRef>
              <c:f>'Category Analysis'!$B$4:$B$7</c:f>
              <c:numCache>
                <c:formatCode>"₹"\ #,##0.00</c:formatCode>
                <c:ptCount val="3"/>
                <c:pt idx="0">
                  <c:v>92596</c:v>
                </c:pt>
                <c:pt idx="1">
                  <c:v>111930</c:v>
                </c:pt>
                <c:pt idx="2">
                  <c:v>19300</c:v>
                </c:pt>
              </c:numCache>
            </c:numRef>
          </c:val>
          <c:extLst>
            <c:ext xmlns:c16="http://schemas.microsoft.com/office/drawing/2014/chart" uri="{C3380CC4-5D6E-409C-BE32-E72D297353CC}">
              <c16:uniqueId val="{00000000-5857-47E2-AB8E-0C07852E8EF8}"/>
            </c:ext>
          </c:extLst>
        </c:ser>
        <c:ser>
          <c:idx val="1"/>
          <c:order val="1"/>
          <c:tx>
            <c:strRef>
              <c:f>'Category Analysis'!$C$3</c:f>
              <c:strCache>
                <c:ptCount val="1"/>
                <c:pt idx="0">
                  <c:v>Sum of Profit</c:v>
                </c:pt>
              </c:strCache>
            </c:strRef>
          </c:tx>
          <c:spPr>
            <a:noFill/>
            <a:ln>
              <a:noFill/>
            </a:ln>
            <a:effectLst/>
          </c:spPr>
          <c:invertIfNegative val="0"/>
          <c:cat>
            <c:strRef>
              <c:f>'Category Analysis'!$A$4:$A$7</c:f>
              <c:strCache>
                <c:ptCount val="3"/>
                <c:pt idx="0">
                  <c:v>Electronics</c:v>
                </c:pt>
                <c:pt idx="1">
                  <c:v>Furniture</c:v>
                </c:pt>
                <c:pt idx="2">
                  <c:v>Stationery</c:v>
                </c:pt>
              </c:strCache>
            </c:strRef>
          </c:cat>
          <c:val>
            <c:numRef>
              <c:f>'Category Analysis'!$C$4:$C$7</c:f>
              <c:numCache>
                <c:formatCode>"₹"\ #,##0.00</c:formatCode>
                <c:ptCount val="3"/>
                <c:pt idx="0">
                  <c:v>23149</c:v>
                </c:pt>
                <c:pt idx="1">
                  <c:v>33579</c:v>
                </c:pt>
                <c:pt idx="2">
                  <c:v>7720</c:v>
                </c:pt>
              </c:numCache>
            </c:numRef>
          </c:val>
          <c:extLst>
            <c:ext xmlns:c16="http://schemas.microsoft.com/office/drawing/2014/chart" uri="{C3380CC4-5D6E-409C-BE32-E72D297353CC}">
              <c16:uniqueId val="{00000001-5857-47E2-AB8E-0C07852E8EF8}"/>
            </c:ext>
          </c:extLst>
        </c:ser>
        <c:dLbls>
          <c:showLegendKey val="0"/>
          <c:showVal val="0"/>
          <c:showCatName val="0"/>
          <c:showSerName val="0"/>
          <c:showPercent val="0"/>
          <c:showBubbleSize val="0"/>
        </c:dLbls>
        <c:gapWidth val="219"/>
        <c:axId val="930897216"/>
        <c:axId val="959899472"/>
      </c:barChart>
      <c:catAx>
        <c:axId val="93089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899472"/>
        <c:crosses val="autoZero"/>
        <c:auto val="1"/>
        <c:lblAlgn val="ctr"/>
        <c:lblOffset val="100"/>
        <c:noMultiLvlLbl val="0"/>
      </c:catAx>
      <c:valAx>
        <c:axId val="95989947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8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[Sales_Data_Project.xlsx]Region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pivotFmt>
      <c:pivotFmt>
        <c:idx val="3"/>
        <c:spPr>
          <a:noFill/>
          <a:ln>
            <a:noFill/>
          </a:ln>
          <a:effectLst/>
        </c:spPr>
      </c:pivotFmt>
      <c:pivotFmt>
        <c:idx val="4"/>
        <c:spPr>
          <a:noFill/>
          <a:ln>
            <a:noFill/>
          </a:ln>
          <a:effectLst/>
        </c:spPr>
      </c:pivotFmt>
      <c:pivotFmt>
        <c:idx val="5"/>
        <c:spPr>
          <a:no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noFill/>
          </a:ln>
          <a:effectLst/>
        </c:spPr>
      </c:pivotFmt>
      <c:pivotFmt>
        <c:idx val="9"/>
        <c:spPr>
          <a:noFill/>
          <a:ln>
            <a:noFill/>
          </a:ln>
          <a:effectLst/>
        </c:spPr>
      </c:pivotFmt>
      <c:pivotFmt>
        <c:idx val="10"/>
        <c:spPr>
          <a:noFill/>
          <a:ln>
            <a:noFill/>
          </a:ln>
          <a:effectLst/>
        </c:spPr>
      </c:pivotFmt>
      <c:pivotFmt>
        <c:idx val="11"/>
        <c:spPr>
          <a:no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a:noFill/>
          </a:ln>
          <a:effectLst/>
        </c:spPr>
      </c:pivotFmt>
      <c:pivotFmt>
        <c:idx val="15"/>
        <c:spPr>
          <a:noFill/>
          <a:ln>
            <a:noFill/>
          </a:ln>
          <a:effectLst/>
        </c:spPr>
      </c:pivotFmt>
      <c:pivotFmt>
        <c:idx val="16"/>
        <c:spPr>
          <a:noFill/>
          <a:ln>
            <a:noFill/>
          </a:ln>
          <a:effectLst/>
        </c:spPr>
      </c:pivotFmt>
      <c:pivotFmt>
        <c:idx val="17"/>
        <c:spPr>
          <a:noFill/>
          <a:ln>
            <a:noFill/>
          </a:ln>
          <a:effectLst/>
        </c:spPr>
      </c:pivotFmt>
    </c:pivotFmts>
    <c:plotArea>
      <c:layout>
        <c:manualLayout>
          <c:layoutTarget val="inner"/>
          <c:xMode val="edge"/>
          <c:yMode val="edge"/>
          <c:x val="0.20408461723913626"/>
          <c:y val="0.31216777888101233"/>
          <c:w val="0.60030067732001435"/>
          <c:h val="0.51237867627250411"/>
        </c:manualLayout>
      </c:layout>
      <c:barChart>
        <c:barDir val="col"/>
        <c:grouping val="clustered"/>
        <c:varyColors val="0"/>
        <c:ser>
          <c:idx val="0"/>
          <c:order val="0"/>
          <c:tx>
            <c:strRef>
              <c:f>'Region Analysis'!$B$3</c:f>
              <c:strCache>
                <c:ptCount val="1"/>
                <c:pt idx="0">
                  <c:v>Sum of Sales</c:v>
                </c:pt>
              </c:strCache>
            </c:strRef>
          </c:tx>
          <c:spPr>
            <a:solidFill>
              <a:schemeClr val="accent1"/>
            </a:solidFill>
            <a:ln>
              <a:noFill/>
            </a:ln>
            <a:effectLst/>
          </c:spPr>
          <c:invertIfNegative val="0"/>
          <c:cat>
            <c:strRef>
              <c:f>'Region Analysis'!$A$4:$A$8</c:f>
              <c:strCache>
                <c:ptCount val="4"/>
                <c:pt idx="0">
                  <c:v>East</c:v>
                </c:pt>
                <c:pt idx="1">
                  <c:v>North</c:v>
                </c:pt>
                <c:pt idx="2">
                  <c:v>South</c:v>
                </c:pt>
                <c:pt idx="3">
                  <c:v>West</c:v>
                </c:pt>
              </c:strCache>
            </c:strRef>
          </c:cat>
          <c:val>
            <c:numRef>
              <c:f>'Region Analysis'!$B$4:$B$8</c:f>
              <c:numCache>
                <c:formatCode>"₹"\ #,##0.00</c:formatCode>
                <c:ptCount val="4"/>
                <c:pt idx="0">
                  <c:v>51474.5</c:v>
                </c:pt>
                <c:pt idx="1">
                  <c:v>56762.5</c:v>
                </c:pt>
                <c:pt idx="2">
                  <c:v>65904</c:v>
                </c:pt>
                <c:pt idx="3">
                  <c:v>49685</c:v>
                </c:pt>
              </c:numCache>
            </c:numRef>
          </c:val>
          <c:extLst>
            <c:ext xmlns:c16="http://schemas.microsoft.com/office/drawing/2014/chart" uri="{C3380CC4-5D6E-409C-BE32-E72D297353CC}">
              <c16:uniqueId val="{00000000-6426-41A1-9BBB-508F5D4A1A04}"/>
            </c:ext>
          </c:extLst>
        </c:ser>
        <c:ser>
          <c:idx val="1"/>
          <c:order val="1"/>
          <c:tx>
            <c:strRef>
              <c:f>'Region Analysis'!$C$3</c:f>
              <c:strCache>
                <c:ptCount val="1"/>
                <c:pt idx="0">
                  <c:v>Sum of Profit</c:v>
                </c:pt>
              </c:strCache>
            </c:strRef>
          </c:tx>
          <c:spPr>
            <a:solidFill>
              <a:schemeClr val="accent2"/>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2-6426-41A1-9BBB-508F5D4A1A04}"/>
              </c:ext>
            </c:extLst>
          </c:dPt>
          <c:dPt>
            <c:idx val="1"/>
            <c:invertIfNegative val="0"/>
            <c:bubble3D val="0"/>
            <c:spPr>
              <a:noFill/>
              <a:ln>
                <a:noFill/>
              </a:ln>
              <a:effectLst/>
            </c:spPr>
            <c:extLst>
              <c:ext xmlns:c16="http://schemas.microsoft.com/office/drawing/2014/chart" uri="{C3380CC4-5D6E-409C-BE32-E72D297353CC}">
                <c16:uniqueId val="{00000004-6426-41A1-9BBB-508F5D4A1A04}"/>
              </c:ext>
            </c:extLst>
          </c:dPt>
          <c:dPt>
            <c:idx val="2"/>
            <c:invertIfNegative val="0"/>
            <c:bubble3D val="0"/>
            <c:spPr>
              <a:noFill/>
              <a:ln>
                <a:noFill/>
              </a:ln>
              <a:effectLst/>
            </c:spPr>
            <c:extLst>
              <c:ext xmlns:c16="http://schemas.microsoft.com/office/drawing/2014/chart" uri="{C3380CC4-5D6E-409C-BE32-E72D297353CC}">
                <c16:uniqueId val="{00000006-6426-41A1-9BBB-508F5D4A1A04}"/>
              </c:ext>
            </c:extLst>
          </c:dPt>
          <c:dPt>
            <c:idx val="3"/>
            <c:invertIfNegative val="0"/>
            <c:bubble3D val="0"/>
            <c:spPr>
              <a:noFill/>
              <a:ln>
                <a:noFill/>
              </a:ln>
              <a:effectLst/>
            </c:spPr>
            <c:extLst>
              <c:ext xmlns:c16="http://schemas.microsoft.com/office/drawing/2014/chart" uri="{C3380CC4-5D6E-409C-BE32-E72D297353CC}">
                <c16:uniqueId val="{00000008-6426-41A1-9BBB-508F5D4A1A04}"/>
              </c:ext>
            </c:extLst>
          </c:dPt>
          <c:cat>
            <c:strRef>
              <c:f>'Region Analysis'!$A$4:$A$8</c:f>
              <c:strCache>
                <c:ptCount val="4"/>
                <c:pt idx="0">
                  <c:v>East</c:v>
                </c:pt>
                <c:pt idx="1">
                  <c:v>North</c:v>
                </c:pt>
                <c:pt idx="2">
                  <c:v>South</c:v>
                </c:pt>
                <c:pt idx="3">
                  <c:v>West</c:v>
                </c:pt>
              </c:strCache>
            </c:strRef>
          </c:cat>
          <c:val>
            <c:numRef>
              <c:f>'Region Analysis'!$C$4:$C$8</c:f>
              <c:numCache>
                <c:formatCode>"₹"\ #,##0.00</c:formatCode>
                <c:ptCount val="4"/>
                <c:pt idx="0">
                  <c:v>14623.625</c:v>
                </c:pt>
                <c:pt idx="1">
                  <c:v>17138.625</c:v>
                </c:pt>
                <c:pt idx="2">
                  <c:v>18673.5</c:v>
                </c:pt>
                <c:pt idx="3">
                  <c:v>14012.25</c:v>
                </c:pt>
              </c:numCache>
            </c:numRef>
          </c:val>
          <c:extLst>
            <c:ext xmlns:c16="http://schemas.microsoft.com/office/drawing/2014/chart" uri="{C3380CC4-5D6E-409C-BE32-E72D297353CC}">
              <c16:uniqueId val="{00000009-6426-41A1-9BBB-508F5D4A1A04}"/>
            </c:ext>
          </c:extLst>
        </c:ser>
        <c:dLbls>
          <c:showLegendKey val="0"/>
          <c:showVal val="0"/>
          <c:showCatName val="0"/>
          <c:showSerName val="0"/>
          <c:showPercent val="0"/>
          <c:showBubbleSize val="0"/>
        </c:dLbls>
        <c:gapWidth val="219"/>
        <c:overlap val="-27"/>
        <c:axId val="1208816783"/>
        <c:axId val="1163955119"/>
      </c:barChart>
      <c:catAx>
        <c:axId val="120881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955119"/>
        <c:crosses val="autoZero"/>
        <c:auto val="1"/>
        <c:lblAlgn val="ctr"/>
        <c:lblOffset val="100"/>
        <c:noMultiLvlLbl val="0"/>
      </c:catAx>
      <c:valAx>
        <c:axId val="116395511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81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[Sales_Data_Project.xlsx]Product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80637997173429"/>
          <c:y val="0.18893849206349211"/>
          <c:w val="0.78375126186149813"/>
          <c:h val="0.70134787839020118"/>
        </c:manualLayout>
      </c:layout>
      <c:barChart>
        <c:barDir val="bar"/>
        <c:grouping val="clustered"/>
        <c:varyColors val="0"/>
        <c:ser>
          <c:idx val="0"/>
          <c:order val="0"/>
          <c:tx>
            <c:strRef>
              <c:f>'Product Analysis'!$B$3</c:f>
              <c:strCache>
                <c:ptCount val="1"/>
                <c:pt idx="0">
                  <c:v>Sum of Sales</c:v>
                </c:pt>
              </c:strCache>
            </c:strRef>
          </c:tx>
          <c:spPr>
            <a:solidFill>
              <a:schemeClr val="accent1"/>
            </a:solidFill>
            <a:ln>
              <a:noFill/>
            </a:ln>
            <a:effectLst/>
          </c:spPr>
          <c:invertIfNegative val="0"/>
          <c:cat>
            <c:strRef>
              <c:f>'Product Analysis'!$A$4:$A$9</c:f>
              <c:strCache>
                <c:ptCount val="5"/>
                <c:pt idx="0">
                  <c:v>Office Chair</c:v>
                </c:pt>
                <c:pt idx="1">
                  <c:v>Monitor</c:v>
                </c:pt>
                <c:pt idx="2">
                  <c:v>Study Table</c:v>
                </c:pt>
                <c:pt idx="3">
                  <c:v>Bookshelf</c:v>
                </c:pt>
                <c:pt idx="4">
                  <c:v>Office Desk</c:v>
                </c:pt>
              </c:strCache>
            </c:strRef>
          </c:cat>
          <c:val>
            <c:numRef>
              <c:f>'Product Analysis'!$B$4:$B$9</c:f>
              <c:numCache>
                <c:formatCode>"₹"\ #,##0.00</c:formatCode>
                <c:ptCount val="5"/>
                <c:pt idx="0">
                  <c:v>36720</c:v>
                </c:pt>
                <c:pt idx="1">
                  <c:v>34875</c:v>
                </c:pt>
                <c:pt idx="2">
                  <c:v>28860</c:v>
                </c:pt>
                <c:pt idx="3">
                  <c:v>23400</c:v>
                </c:pt>
                <c:pt idx="4">
                  <c:v>22950</c:v>
                </c:pt>
              </c:numCache>
            </c:numRef>
          </c:val>
          <c:extLst>
            <c:ext xmlns:c16="http://schemas.microsoft.com/office/drawing/2014/chart" uri="{C3380CC4-5D6E-409C-BE32-E72D297353CC}">
              <c16:uniqueId val="{00000000-783F-4D00-AF45-CFEAD57D6F3C}"/>
            </c:ext>
          </c:extLst>
        </c:ser>
        <c:ser>
          <c:idx val="1"/>
          <c:order val="1"/>
          <c:tx>
            <c:strRef>
              <c:f>'Product Analysis'!$C$3</c:f>
              <c:strCache>
                <c:ptCount val="1"/>
                <c:pt idx="0">
                  <c:v>Sum of Profit</c:v>
                </c:pt>
              </c:strCache>
            </c:strRef>
          </c:tx>
          <c:spPr>
            <a:noFill/>
            <a:ln>
              <a:noFill/>
            </a:ln>
            <a:effectLst/>
          </c:spPr>
          <c:invertIfNegative val="0"/>
          <c:cat>
            <c:strRef>
              <c:f>'Product Analysis'!$A$4:$A$9</c:f>
              <c:strCache>
                <c:ptCount val="5"/>
                <c:pt idx="0">
                  <c:v>Office Chair</c:v>
                </c:pt>
                <c:pt idx="1">
                  <c:v>Monitor</c:v>
                </c:pt>
                <c:pt idx="2">
                  <c:v>Study Table</c:v>
                </c:pt>
                <c:pt idx="3">
                  <c:v>Bookshelf</c:v>
                </c:pt>
                <c:pt idx="4">
                  <c:v>Office Desk</c:v>
                </c:pt>
              </c:strCache>
            </c:strRef>
          </c:cat>
          <c:val>
            <c:numRef>
              <c:f>'Product Analysis'!$C$4:$C$9</c:f>
              <c:numCache>
                <c:formatCode>"₹"\ #,##0.00</c:formatCode>
                <c:ptCount val="5"/>
                <c:pt idx="0">
                  <c:v>11016</c:v>
                </c:pt>
                <c:pt idx="1">
                  <c:v>8718.75</c:v>
                </c:pt>
                <c:pt idx="2">
                  <c:v>8658.0000000000036</c:v>
                </c:pt>
                <c:pt idx="3">
                  <c:v>7020</c:v>
                </c:pt>
                <c:pt idx="4">
                  <c:v>6885</c:v>
                </c:pt>
              </c:numCache>
            </c:numRef>
          </c:val>
          <c:extLst>
            <c:ext xmlns:c16="http://schemas.microsoft.com/office/drawing/2014/chart" uri="{C3380CC4-5D6E-409C-BE32-E72D297353CC}">
              <c16:uniqueId val="{00000001-783F-4D00-AF45-CFEAD57D6F3C}"/>
            </c:ext>
          </c:extLst>
        </c:ser>
        <c:dLbls>
          <c:showLegendKey val="0"/>
          <c:showVal val="0"/>
          <c:showCatName val="0"/>
          <c:showSerName val="0"/>
          <c:showPercent val="0"/>
          <c:showBubbleSize val="0"/>
        </c:dLbls>
        <c:gapWidth val="182"/>
        <c:axId val="1235016799"/>
        <c:axId val="1164006959"/>
      </c:barChart>
      <c:catAx>
        <c:axId val="123501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006959"/>
        <c:crosses val="autoZero"/>
        <c:auto val="1"/>
        <c:lblAlgn val="ctr"/>
        <c:lblOffset val="100"/>
        <c:noMultiLvlLbl val="0"/>
      </c:catAx>
      <c:valAx>
        <c:axId val="1164006959"/>
        <c:scaling>
          <c:orientation val="minMax"/>
        </c:scaling>
        <c:delete val="0"/>
        <c:axPos val="b"/>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01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502920</xdr:colOff>
      <xdr:row>8</xdr:row>
      <xdr:rowOff>148590</xdr:rowOff>
    </xdr:from>
    <xdr:to>
      <xdr:col>14</xdr:col>
      <xdr:colOff>198120</xdr:colOff>
      <xdr:row>23</xdr:row>
      <xdr:rowOff>148590</xdr:rowOff>
    </xdr:to>
    <xdr:graphicFrame macro="">
      <xdr:nvGraphicFramePr>
        <xdr:cNvPr id="3" name="Chart 2">
          <a:extLst>
            <a:ext uri="{FF2B5EF4-FFF2-40B4-BE49-F238E27FC236}">
              <a16:creationId xmlns:a16="http://schemas.microsoft.com/office/drawing/2014/main" id="{25D25D0C-3640-8A65-B862-419C7BA43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502920</xdr:colOff>
      <xdr:row>8</xdr:row>
      <xdr:rowOff>148590</xdr:rowOff>
    </xdr:from>
    <xdr:to>
      <xdr:col>14</xdr:col>
      <xdr:colOff>198120</xdr:colOff>
      <xdr:row>23</xdr:row>
      <xdr:rowOff>148590</xdr:rowOff>
    </xdr:to>
    <xdr:graphicFrame macro="">
      <xdr:nvGraphicFramePr>
        <xdr:cNvPr id="4" name="Chart 3">
          <a:extLst>
            <a:ext uri="{FF2B5EF4-FFF2-40B4-BE49-F238E27FC236}">
              <a16:creationId xmlns:a16="http://schemas.microsoft.com/office/drawing/2014/main" id="{D263084B-6FA9-630E-300A-A3A917F99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15</xdr:row>
      <xdr:rowOff>152400</xdr:rowOff>
    </xdr:from>
    <xdr:to>
      <xdr:col>6</xdr:col>
      <xdr:colOff>0</xdr:colOff>
      <xdr:row>28</xdr:row>
      <xdr:rowOff>99060</xdr:rowOff>
    </xdr:to>
    <xdr:graphicFrame macro="">
      <xdr:nvGraphicFramePr>
        <xdr:cNvPr id="2" name="Chart 1">
          <a:extLst>
            <a:ext uri="{FF2B5EF4-FFF2-40B4-BE49-F238E27FC236}">
              <a16:creationId xmlns:a16="http://schemas.microsoft.com/office/drawing/2014/main" id="{897D5468-3A40-4D8D-85CC-9EE57B794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0</xdr:row>
      <xdr:rowOff>259080</xdr:rowOff>
    </xdr:from>
    <xdr:to>
      <xdr:col>22</xdr:col>
      <xdr:colOff>304800</xdr:colOff>
      <xdr:row>13</xdr:row>
      <xdr:rowOff>121920</xdr:rowOff>
    </xdr:to>
    <xdr:graphicFrame macro="">
      <xdr:nvGraphicFramePr>
        <xdr:cNvPr id="3" name="Chart 2">
          <a:extLst>
            <a:ext uri="{FF2B5EF4-FFF2-40B4-BE49-F238E27FC236}">
              <a16:creationId xmlns:a16="http://schemas.microsoft.com/office/drawing/2014/main" id="{EA4DD134-92D2-436F-AB28-5C8D10BA8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14</xdr:row>
      <xdr:rowOff>167640</xdr:rowOff>
    </xdr:from>
    <xdr:to>
      <xdr:col>22</xdr:col>
      <xdr:colOff>266700</xdr:colOff>
      <xdr:row>29</xdr:row>
      <xdr:rowOff>22860</xdr:rowOff>
    </xdr:to>
    <xdr:graphicFrame macro="">
      <xdr:nvGraphicFramePr>
        <xdr:cNvPr id="4" name="Chart 3">
          <a:extLst>
            <a:ext uri="{FF2B5EF4-FFF2-40B4-BE49-F238E27FC236}">
              <a16:creationId xmlns:a16="http://schemas.microsoft.com/office/drawing/2014/main" id="{FB6D21F4-7553-42AB-B573-A176F0E96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320040</xdr:colOff>
      <xdr:row>15</xdr:row>
      <xdr:rowOff>7620</xdr:rowOff>
    </xdr:from>
    <xdr:to>
      <xdr:col>14</xdr:col>
      <xdr:colOff>396240</xdr:colOff>
      <xdr:row>29</xdr:row>
      <xdr:rowOff>7620</xdr:rowOff>
    </xdr:to>
    <xdr:graphicFrame macro="">
      <xdr:nvGraphicFramePr>
        <xdr:cNvPr id="5" name="Chart 4">
          <a:extLst>
            <a:ext uri="{FF2B5EF4-FFF2-40B4-BE49-F238E27FC236}">
              <a16:creationId xmlns:a16="http://schemas.microsoft.com/office/drawing/2014/main" id="{87635A23-8255-427A-9D49-2D6A2EA98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76200</xdr:colOff>
      <xdr:row>5</xdr:row>
      <xdr:rowOff>335281</xdr:rowOff>
    </xdr:from>
    <xdr:to>
      <xdr:col>14</xdr:col>
      <xdr:colOff>457200</xdr:colOff>
      <xdr:row>14</xdr:row>
      <xdr:rowOff>99061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F41DF2B4-2B44-4738-9D2A-8F80E1F4DAF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81800" y="1440181"/>
              <a:ext cx="220980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297180</xdr:colOff>
      <xdr:row>5</xdr:row>
      <xdr:rowOff>335280</xdr:rowOff>
    </xdr:from>
    <xdr:to>
      <xdr:col>11</xdr:col>
      <xdr:colOff>0</xdr:colOff>
      <xdr:row>14</xdr:row>
      <xdr:rowOff>114299</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194A9263-7A08-4CD4-A68E-CD5F5176B71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64380" y="1440180"/>
              <a:ext cx="2141220" cy="1584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289560</xdr:colOff>
      <xdr:row>5</xdr:row>
      <xdr:rowOff>327661</xdr:rowOff>
    </xdr:from>
    <xdr:to>
      <xdr:col>7</xdr:col>
      <xdr:colOff>167640</xdr:colOff>
      <xdr:row>14</xdr:row>
      <xdr:rowOff>91441</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60646609-DF48-4C14-ACA3-147E1549423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118360" y="1432561"/>
              <a:ext cx="231648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adhya gupta" refreshedDate="46253.781585069446" createdVersion="8" refreshedVersion="8" minRefreshableVersion="3" recordCount="30" xr:uid="{EC9DCA1E-AA15-4E2B-BADD-9D9ACF00AA67}">
  <cacheSource type="worksheet">
    <worksheetSource name="SalesData"/>
  </cacheSource>
  <cacheFields count="15">
    <cacheField name="Order ID" numFmtId="0">
      <sharedItems/>
    </cacheField>
    <cacheField name="Order Date" numFmtId="15">
      <sharedItems containsSemiMixedTypes="0" containsNonDate="0" containsDate="1" containsString="0" minDate="2026-01-05T00:00:00" maxDate="2026-05-31T00:00:00" count="30">
        <d v="2026-01-05T00:00:00"/>
        <d v="2026-01-07T00:00:00"/>
        <d v="2026-01-10T00:00:00"/>
        <d v="2026-01-14T00:00:00"/>
        <d v="2026-01-18T00:00:00"/>
        <d v="2026-01-22T00:00:00"/>
        <d v="2026-01-27T00:00:00"/>
        <d v="2026-02-02T00:00:00"/>
        <d v="2026-02-06T00:00:00"/>
        <d v="2026-02-11T00:00:00"/>
        <d v="2026-02-15T00:00:00"/>
        <d v="2026-02-19T00:00:00"/>
        <d v="2026-02-24T00:00:00"/>
        <d v="2026-03-03T00:00:00"/>
        <d v="2026-03-08T00:00:00"/>
        <d v="2026-03-13T00:00:00"/>
        <d v="2026-03-18T00:00:00"/>
        <d v="2026-03-22T00:00:00"/>
        <d v="2026-03-28T00:00:00"/>
        <d v="2026-04-04T00:00:00"/>
        <d v="2026-04-09T00:00:00"/>
        <d v="2026-04-14T00:00:00"/>
        <d v="2026-04-19T00:00:00"/>
        <d v="2026-04-24T00:00:00"/>
        <d v="2026-04-29T00:00:00"/>
        <d v="2026-05-05T00:00:00"/>
        <d v="2026-05-11T00:00:00"/>
        <d v="2026-05-17T00:00:00"/>
        <d v="2026-05-23T00:00:00"/>
        <d v="2026-05-30T00:00:00"/>
      </sharedItems>
      <fieldGroup par="14"/>
    </cacheField>
    <cacheField name="Customer Name" numFmtId="0">
      <sharedItems/>
    </cacheField>
    <cacheField name="Region" numFmtId="0">
      <sharedItems count="4">
        <s v="North"/>
        <s v="West"/>
        <s v="South"/>
        <s v="East"/>
      </sharedItems>
    </cacheField>
    <cacheField name="Category" numFmtId="0">
      <sharedItems count="3">
        <s v="Electronics"/>
        <s v="Furniture"/>
        <s v="Stationery"/>
      </sharedItems>
    </cacheField>
    <cacheField name="Product" numFmtId="0">
      <sharedItems count="14">
        <s v="Wireless Mouse"/>
        <s v="Office Chair"/>
        <s v="Keyboard"/>
        <s v="Notebook Set"/>
        <s v="Headphones"/>
        <s v="Study Table"/>
        <s v="Pen Pack"/>
        <s v="Monitor"/>
        <s v="Bookshelf"/>
        <s v="File Folder"/>
        <s v="Webcam"/>
        <s v="Office Desk"/>
        <s v="USB Hub"/>
        <s v="Laptop Stand"/>
      </sharedItems>
    </cacheField>
    <cacheField name="Quantity" numFmtId="0">
      <sharedItems containsSemiMixedTypes="0" containsString="0" containsNumber="1" containsInteger="1" minValue="1" maxValue="30"/>
    </cacheField>
    <cacheField name="Unit Price" numFmtId="164">
      <sharedItems containsSemiMixedTypes="0" containsString="0" containsNumber="1" containsInteger="1" minValue="90" maxValue="12500"/>
    </cacheField>
    <cacheField name="Sales" numFmtId="164">
      <sharedItems containsSemiMixedTypes="0" containsString="0" containsNumber="1" minValue="1800" maxValue="23250"/>
    </cacheField>
    <cacheField name="Discount" numFmtId="9">
      <sharedItems containsSemiMixedTypes="0" containsString="0" containsNumber="1" minValue="0" maxValue="0.12"/>
    </cacheField>
    <cacheField name="Profit" numFmtId="164">
      <sharedItems containsSemiMixedTypes="0" containsString="0" containsNumber="1" minValue="463.125" maxValue="5812.5"/>
    </cacheField>
    <cacheField name="Payment Mode" numFmtId="0">
      <sharedItems count="3">
        <s v="UPI"/>
        <s v="Card"/>
        <s v="Cash"/>
      </sharedItems>
    </cacheField>
    <cacheField name="Cost%" numFmtId="9">
      <sharedItems containsSemiMixedTypes="0" containsString="0" containsNumber="1" minValue="0.6" maxValue="0.75"/>
    </cacheField>
    <cacheField name="Days (Order Date)" numFmtId="0" databaseField="0">
      <fieldGroup base="1">
        <rangePr groupBy="days" startDate="2026-01-05T00:00:00" endDate="2026-05-31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5-2026"/>
        </groupItems>
      </fieldGroup>
    </cacheField>
    <cacheField name="Months (Order Date)" numFmtId="0" databaseField="0">
      <fieldGroup base="1">
        <rangePr groupBy="months" startDate="2026-01-05T00:00:00" endDate="2026-05-31T00:00:00"/>
        <groupItems count="14">
          <s v="&lt;05-01-2026"/>
          <s v="Jan"/>
          <s v="Feb"/>
          <s v="Mar"/>
          <s v="Apr"/>
          <s v="May"/>
          <s v="Jun"/>
          <s v="Jul"/>
          <s v="Aug"/>
          <s v="Sep"/>
          <s v="Oct"/>
          <s v="Nov"/>
          <s v="Dec"/>
          <s v="&gt;31-05-2026"/>
        </groupItems>
      </fieldGroup>
    </cacheField>
  </cacheFields>
  <extLst>
    <ext xmlns:x14="http://schemas.microsoft.com/office/spreadsheetml/2009/9/main" uri="{725AE2AE-9491-48be-B2B4-4EB974FC3084}">
      <x14:pivotCacheDefinition pivotCacheId="11365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ORD1001"/>
    <x v="0"/>
    <s v="Rahul Sharma"/>
    <x v="0"/>
    <x v="0"/>
    <x v="0"/>
    <n v="3"/>
    <n v="650"/>
    <n v="1852.5"/>
    <n v="0.05"/>
    <n v="463.125"/>
    <x v="0"/>
    <n v="0.75"/>
  </r>
  <r>
    <s v="ORD1002"/>
    <x v="1"/>
    <s v="Priya Verma"/>
    <x v="1"/>
    <x v="1"/>
    <x v="1"/>
    <n v="2"/>
    <n v="4500"/>
    <n v="8100"/>
    <n v="0.1"/>
    <n v="2430"/>
    <x v="1"/>
    <n v="0.7"/>
  </r>
  <r>
    <s v="ORD1003"/>
    <x v="2"/>
    <s v="Aman Gupta"/>
    <x v="0"/>
    <x v="0"/>
    <x v="2"/>
    <n v="4"/>
    <n v="900"/>
    <n v="3420"/>
    <n v="0.05"/>
    <n v="855"/>
    <x v="0"/>
    <n v="0.75"/>
  </r>
  <r>
    <s v="ORD1004"/>
    <x v="3"/>
    <s v="Neha Singh"/>
    <x v="2"/>
    <x v="2"/>
    <x v="3"/>
    <n v="10"/>
    <n v="250"/>
    <n v="2500"/>
    <n v="0"/>
    <n v="1000"/>
    <x v="2"/>
    <n v="0.6"/>
  </r>
  <r>
    <s v="ORD1005"/>
    <x v="4"/>
    <s v="Rohit Kumar"/>
    <x v="3"/>
    <x v="0"/>
    <x v="4"/>
    <n v="2"/>
    <n v="1800"/>
    <n v="3312"/>
    <n v="0.08"/>
    <n v="828"/>
    <x v="1"/>
    <n v="0.75"/>
  </r>
  <r>
    <s v="ORD1006"/>
    <x v="5"/>
    <s v="Simran Kaur"/>
    <x v="1"/>
    <x v="1"/>
    <x v="5"/>
    <n v="1"/>
    <n v="6500"/>
    <n v="5720"/>
    <n v="0.12"/>
    <n v="1716.0000000000005"/>
    <x v="0"/>
    <n v="0.7"/>
  </r>
  <r>
    <s v="ORD1007"/>
    <x v="6"/>
    <s v="Arjun Mehta"/>
    <x v="0"/>
    <x v="2"/>
    <x v="6"/>
    <n v="15"/>
    <n v="120"/>
    <n v="1800"/>
    <n v="0"/>
    <n v="720"/>
    <x v="2"/>
    <n v="0.6"/>
  </r>
  <r>
    <s v="ORD1008"/>
    <x v="7"/>
    <s v="Kavya Jain"/>
    <x v="2"/>
    <x v="0"/>
    <x v="7"/>
    <n v="2"/>
    <n v="12500"/>
    <n v="23250"/>
    <n v="7.0000000000000007E-2"/>
    <n v="5812.5"/>
    <x v="1"/>
    <n v="0.75"/>
  </r>
  <r>
    <s v="ORD1009"/>
    <x v="8"/>
    <s v="Mohit Agarwal"/>
    <x v="3"/>
    <x v="1"/>
    <x v="8"/>
    <n v="2"/>
    <n v="5200"/>
    <n v="9360"/>
    <n v="0.1"/>
    <n v="2808"/>
    <x v="0"/>
    <n v="0.7"/>
  </r>
  <r>
    <s v="ORD1010"/>
    <x v="9"/>
    <s v="Anjali Gupta"/>
    <x v="0"/>
    <x v="2"/>
    <x v="9"/>
    <n v="20"/>
    <n v="90"/>
    <n v="1800"/>
    <n v="0"/>
    <n v="720"/>
    <x v="2"/>
    <n v="0.6"/>
  </r>
  <r>
    <s v="ORD1011"/>
    <x v="10"/>
    <s v="Karan Malhotra"/>
    <x v="1"/>
    <x v="0"/>
    <x v="10"/>
    <n v="3"/>
    <n v="2400"/>
    <n v="6840"/>
    <n v="0.05"/>
    <n v="1710"/>
    <x v="1"/>
    <n v="0.75"/>
  </r>
  <r>
    <s v="ORD1012"/>
    <x v="11"/>
    <s v="Pooja Sharma"/>
    <x v="2"/>
    <x v="1"/>
    <x v="11"/>
    <n v="1"/>
    <n v="8500"/>
    <n v="7650"/>
    <n v="0.1"/>
    <n v="2295"/>
    <x v="0"/>
    <n v="0.7"/>
  </r>
  <r>
    <s v="ORD1013"/>
    <x v="12"/>
    <s v="Varun Singh"/>
    <x v="3"/>
    <x v="0"/>
    <x v="12"/>
    <n v="5"/>
    <n v="750"/>
    <n v="3562.5"/>
    <n v="0.05"/>
    <n v="890.625"/>
    <x v="2"/>
    <n v="0.75"/>
  </r>
  <r>
    <s v="ORD1014"/>
    <x v="13"/>
    <s v="Riya Kapoor"/>
    <x v="0"/>
    <x v="1"/>
    <x v="1"/>
    <n v="3"/>
    <n v="4500"/>
    <n v="12420"/>
    <n v="0.08"/>
    <n v="3726"/>
    <x v="1"/>
    <n v="0.7"/>
  </r>
  <r>
    <s v="ORD1015"/>
    <x v="14"/>
    <s v="Yash Verma"/>
    <x v="1"/>
    <x v="2"/>
    <x v="3"/>
    <n v="12"/>
    <n v="250"/>
    <n v="3000"/>
    <n v="0"/>
    <n v="1200"/>
    <x v="0"/>
    <n v="0.6"/>
  </r>
  <r>
    <s v="ORD1016"/>
    <x v="15"/>
    <s v="Sneha Gupta"/>
    <x v="2"/>
    <x v="0"/>
    <x v="13"/>
    <n v="4"/>
    <n v="1600"/>
    <n v="6080"/>
    <n v="0.05"/>
    <n v="1520"/>
    <x v="1"/>
    <n v="0.75"/>
  </r>
  <r>
    <s v="ORD1017"/>
    <x v="16"/>
    <s v="Aditya Jain"/>
    <x v="3"/>
    <x v="1"/>
    <x v="5"/>
    <n v="2"/>
    <n v="6500"/>
    <n v="11700"/>
    <n v="0.1"/>
    <n v="3510.0000000000009"/>
    <x v="0"/>
    <n v="0.7"/>
  </r>
  <r>
    <s v="ORD1018"/>
    <x v="17"/>
    <s v="Meera Singh"/>
    <x v="0"/>
    <x v="0"/>
    <x v="2"/>
    <n v="6"/>
    <n v="900"/>
    <n v="5130"/>
    <n v="0.05"/>
    <n v="1282.5"/>
    <x v="2"/>
    <n v="0.75"/>
  </r>
  <r>
    <s v="ORD1019"/>
    <x v="18"/>
    <s v="Nitin Kumar"/>
    <x v="1"/>
    <x v="2"/>
    <x v="6"/>
    <n v="25"/>
    <n v="120"/>
    <n v="3000"/>
    <n v="0"/>
    <n v="1200"/>
    <x v="2"/>
    <n v="0.6"/>
  </r>
  <r>
    <s v="ORD1020"/>
    <x v="19"/>
    <s v="Tanya Sharma"/>
    <x v="2"/>
    <x v="0"/>
    <x v="4"/>
    <n v="4"/>
    <n v="1800"/>
    <n v="6624"/>
    <n v="0.08"/>
    <n v="1656"/>
    <x v="1"/>
    <n v="0.75"/>
  </r>
  <r>
    <s v="ORD1021"/>
    <x v="20"/>
    <s v="Deepak Verma"/>
    <x v="3"/>
    <x v="1"/>
    <x v="8"/>
    <n v="3"/>
    <n v="5200"/>
    <n v="14040"/>
    <n v="0.1"/>
    <n v="4212"/>
    <x v="0"/>
    <n v="0.7"/>
  </r>
  <r>
    <s v="ORD1022"/>
    <x v="21"/>
    <s v="Ishita Gupta"/>
    <x v="0"/>
    <x v="2"/>
    <x v="9"/>
    <n v="30"/>
    <n v="90"/>
    <n v="2700"/>
    <n v="0"/>
    <n v="1080"/>
    <x v="2"/>
    <n v="0.6"/>
  </r>
  <r>
    <s v="ORD1023"/>
    <x v="22"/>
    <s v="Manish Agarwal"/>
    <x v="1"/>
    <x v="0"/>
    <x v="7"/>
    <n v="1"/>
    <n v="12500"/>
    <n v="11625"/>
    <n v="7.0000000000000007E-2"/>
    <n v="2906.25"/>
    <x v="1"/>
    <n v="0.75"/>
  </r>
  <r>
    <s v="ORD1024"/>
    <x v="23"/>
    <s v="Nisha Jain"/>
    <x v="2"/>
    <x v="1"/>
    <x v="11"/>
    <n v="2"/>
    <n v="8500"/>
    <n v="15300"/>
    <n v="0.1"/>
    <n v="4590"/>
    <x v="0"/>
    <n v="0.7"/>
  </r>
  <r>
    <s v="ORD1025"/>
    <x v="24"/>
    <s v="Saurabh Singh"/>
    <x v="3"/>
    <x v="0"/>
    <x v="0"/>
    <n v="8"/>
    <n v="650"/>
    <n v="4940"/>
    <n v="0.05"/>
    <n v="1235"/>
    <x v="2"/>
    <n v="0.75"/>
  </r>
  <r>
    <s v="ORD1026"/>
    <x v="25"/>
    <s v="Ayesha Khan"/>
    <x v="0"/>
    <x v="1"/>
    <x v="5"/>
    <n v="2"/>
    <n v="6500"/>
    <n v="11440"/>
    <n v="0.12"/>
    <n v="3432.0000000000009"/>
    <x v="1"/>
    <n v="0.7"/>
  </r>
  <r>
    <s v="ORD1027"/>
    <x v="26"/>
    <s v="Harsh Gupta"/>
    <x v="1"/>
    <x v="0"/>
    <x v="10"/>
    <n v="5"/>
    <n v="2400"/>
    <n v="11400"/>
    <n v="0.05"/>
    <n v="2850"/>
    <x v="0"/>
    <n v="0.75"/>
  </r>
  <r>
    <s v="ORD1028"/>
    <x v="27"/>
    <s v="Divya Sharma"/>
    <x v="2"/>
    <x v="2"/>
    <x v="3"/>
    <n v="18"/>
    <n v="250"/>
    <n v="4500"/>
    <n v="0"/>
    <n v="1800"/>
    <x v="2"/>
    <n v="0.6"/>
  </r>
  <r>
    <s v="ORD1029"/>
    <x v="28"/>
    <s v="Akash Verma"/>
    <x v="3"/>
    <x v="0"/>
    <x v="13"/>
    <n v="3"/>
    <n v="1600"/>
    <n v="4560"/>
    <n v="0.05"/>
    <n v="1140"/>
    <x v="1"/>
    <n v="0.75"/>
  </r>
  <r>
    <s v="ORD1030"/>
    <x v="29"/>
    <s v="Muskan Jain"/>
    <x v="0"/>
    <x v="1"/>
    <x v="1"/>
    <n v="4"/>
    <n v="4500"/>
    <n v="16200"/>
    <n v="0.1"/>
    <n v="4860"/>
    <x v="0"/>
    <n v="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2D6CEE-4346-4145-A86C-5418451321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7" firstHeaderRow="0" firstDataRow="1" firstDataCol="1"/>
  <pivotFields count="15">
    <pivotField showAll="0"/>
    <pivotField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3"/>
        <item x="0"/>
        <item x="2"/>
        <item x="1"/>
        <item t="default"/>
      </items>
    </pivotField>
    <pivotField axis="axisRow" showAll="0">
      <items count="4">
        <item x="0"/>
        <item x="1"/>
        <item x="2"/>
        <item t="default"/>
      </items>
    </pivotField>
    <pivotField showAll="0"/>
    <pivotField showAll="0"/>
    <pivotField numFmtId="164" showAll="0"/>
    <pivotField dataField="1" numFmtId="164" showAll="0"/>
    <pivotField numFmtId="9" showAll="0"/>
    <pivotField dataField="1" numFmtId="164" showAll="0"/>
    <pivotField showAll="0">
      <items count="4">
        <item x="1"/>
        <item x="2"/>
        <item x="0"/>
        <item t="default"/>
      </items>
    </pivotField>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Fields count="1">
    <field x="-2"/>
  </colFields>
  <colItems count="2">
    <i>
      <x/>
    </i>
    <i i="1">
      <x v="1"/>
    </i>
  </colItems>
  <dataFields count="2">
    <dataField name="Sum of Sales" fld="8" baseField="0" baseItem="0" numFmtId="164"/>
    <dataField name="Sum of Profit" fld="10" baseField="0" baseItem="0" numFmtId="164"/>
  </dataFields>
  <chartFormats count="11">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FB1C74-5151-44EF-8118-C20C7E2167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8" firstHeaderRow="0" firstDataRow="1" firstDataCol="1"/>
  <pivotFields count="15">
    <pivotField showAll="0"/>
    <pivotField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5">
        <item x="3"/>
        <item x="0"/>
        <item x="2"/>
        <item x="1"/>
        <item t="default"/>
      </items>
    </pivotField>
    <pivotField showAll="0">
      <items count="4">
        <item x="0"/>
        <item x="1"/>
        <item x="2"/>
        <item t="default"/>
      </items>
    </pivotField>
    <pivotField showAll="0"/>
    <pivotField showAll="0"/>
    <pivotField numFmtId="164" showAll="0"/>
    <pivotField dataField="1" numFmtId="164" showAll="0"/>
    <pivotField numFmtId="9" showAll="0"/>
    <pivotField dataField="1" numFmtId="164" showAll="0"/>
    <pivotField showAll="0">
      <items count="4">
        <item x="1"/>
        <item x="2"/>
        <item x="0"/>
        <item t="default"/>
      </items>
    </pivotField>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Sum of Sales" fld="8" baseField="0" baseItem="0" numFmtId="164"/>
    <dataField name="Sum of Profit" fld="10"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3" count="1" selected="0">
            <x v="0"/>
          </reference>
        </references>
      </pivotArea>
    </chartFormat>
    <chartFormat chart="0" format="3">
      <pivotArea type="data" outline="0" fieldPosition="0">
        <references count="2">
          <reference field="4294967294" count="1" selected="0">
            <x v="1"/>
          </reference>
          <reference field="3" count="1" selected="0">
            <x v="1"/>
          </reference>
        </references>
      </pivotArea>
    </chartFormat>
    <chartFormat chart="0" format="4">
      <pivotArea type="data" outline="0" fieldPosition="0">
        <references count="2">
          <reference field="4294967294" count="1" selected="0">
            <x v="1"/>
          </reference>
          <reference field="3" count="1" selected="0">
            <x v="2"/>
          </reference>
        </references>
      </pivotArea>
    </chartFormat>
    <chartFormat chart="0" format="5">
      <pivotArea type="data" outline="0" fieldPosition="0">
        <references count="2">
          <reference field="4294967294" count="1" selected="0">
            <x v="1"/>
          </reference>
          <reference field="3" count="1" selected="0">
            <x v="3"/>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pivotArea type="data" outline="0" fieldPosition="0">
        <references count="2">
          <reference field="4294967294" count="1" selected="0">
            <x v="1"/>
          </reference>
          <reference field="3" count="1" selected="0">
            <x v="0"/>
          </reference>
        </references>
      </pivotArea>
    </chartFormat>
    <chartFormat chart="2" format="15">
      <pivotArea type="data" outline="0" fieldPosition="0">
        <references count="2">
          <reference field="4294967294" count="1" selected="0">
            <x v="1"/>
          </reference>
          <reference field="3" count="1" selected="0">
            <x v="1"/>
          </reference>
        </references>
      </pivotArea>
    </chartFormat>
    <chartFormat chart="2" format="16">
      <pivotArea type="data" outline="0" fieldPosition="0">
        <references count="2">
          <reference field="4294967294" count="1" selected="0">
            <x v="1"/>
          </reference>
          <reference field="3" count="1" selected="0">
            <x v="2"/>
          </reference>
        </references>
      </pivotArea>
    </chartFormat>
    <chartFormat chart="2" format="17">
      <pivotArea type="data" outline="0" fieldPosition="0">
        <references count="2">
          <reference field="4294967294"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5C9049-14AB-4BE4-836A-14018C0B77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15">
    <pivotField showAll="0"/>
    <pivotField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3"/>
        <item x="0"/>
        <item x="2"/>
        <item x="1"/>
        <item t="default"/>
      </items>
    </pivotField>
    <pivotField showAll="0">
      <items count="4">
        <item x="0"/>
        <item x="1"/>
        <item x="2"/>
        <item t="default"/>
      </items>
    </pivotField>
    <pivotField axis="axisRow" showAll="0" sortType="descending">
      <items count="15">
        <item x="8"/>
        <item h="1" x="9"/>
        <item h="1" x="4"/>
        <item h="1" x="2"/>
        <item h="1" x="13"/>
        <item x="7"/>
        <item h="1" x="3"/>
        <item x="1"/>
        <item x="11"/>
        <item h="1" x="6"/>
        <item x="5"/>
        <item h="1" x="12"/>
        <item h="1" x="10"/>
        <item h="1" x="0"/>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numFmtId="9" showAll="0"/>
    <pivotField dataField="1" numFmtId="164" showAll="0"/>
    <pivotField showAll="0">
      <items count="4">
        <item x="1"/>
        <item x="2"/>
        <item x="0"/>
        <item t="default"/>
      </items>
    </pivotField>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v="7"/>
    </i>
    <i>
      <x v="5"/>
    </i>
    <i>
      <x v="10"/>
    </i>
    <i>
      <x/>
    </i>
    <i>
      <x v="8"/>
    </i>
    <i t="grand">
      <x/>
    </i>
  </rowItems>
  <colFields count="1">
    <field x="-2"/>
  </colFields>
  <colItems count="2">
    <i>
      <x/>
    </i>
    <i i="1">
      <x v="1"/>
    </i>
  </colItems>
  <dataFields count="2">
    <dataField name="Sum of Sales" fld="8" baseField="0" baseItem="0" numFmtId="164"/>
    <dataField name="Sum of Profit" fld="10"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26DADF-4137-4071-8BDB-040C6D3719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5">
    <pivotField showAll="0"/>
    <pivotField axis="axisRow" numFmtId="15"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3"/>
        <item x="0"/>
        <item x="2"/>
        <item x="1"/>
        <item t="default"/>
      </items>
    </pivotField>
    <pivotField showAll="0">
      <items count="4">
        <item x="0"/>
        <item x="1"/>
        <item x="2"/>
        <item t="default"/>
      </items>
    </pivotField>
    <pivotField showAll="0"/>
    <pivotField showAll="0"/>
    <pivotField numFmtId="164" showAll="0"/>
    <pivotField dataField="1" numFmtId="164" showAll="0"/>
    <pivotField numFmtId="9" showAll="0"/>
    <pivotField numFmtId="164" showAll="0"/>
    <pivotField showAll="0">
      <items count="4">
        <item x="1"/>
        <item x="2"/>
        <item x="0"/>
        <item t="default"/>
      </items>
    </pivotField>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6">
    <i>
      <x v="1"/>
    </i>
    <i>
      <x v="2"/>
    </i>
    <i>
      <x v="3"/>
    </i>
    <i>
      <x v="4"/>
    </i>
    <i>
      <x v="5"/>
    </i>
    <i t="grand">
      <x/>
    </i>
  </rowItems>
  <colItems count="1">
    <i/>
  </colItems>
  <dataFields count="1">
    <dataField name="Sum of Sales" fld="8" baseField="0" baseItem="0" numFmtId="164"/>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E2F073-3871-4342-A9A1-85CEFEB99FB2}" sourceName="Region">
  <pivotTables>
    <pivotTable tabId="3" name="PivotTable1"/>
    <pivotTable tabId="6" name="PivotTable3"/>
    <pivotTable tabId="5" name="PivotTable2"/>
    <pivotTable tabId="4" name="PivotTable1"/>
  </pivotTables>
  <data>
    <tabular pivotCacheId="11365817">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EAA853-2D3E-4D0E-B3D2-6460C6DBEEFE}" sourceName="Category">
  <pivotTables>
    <pivotTable tabId="3" name="PivotTable1"/>
    <pivotTable tabId="6" name="PivotTable3"/>
    <pivotTable tabId="5" name="PivotTable2"/>
    <pivotTable tabId="4" name="PivotTable1"/>
  </pivotTables>
  <data>
    <tabular pivotCacheId="1136581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932AC7D-71CE-4D44-88E1-C48D4B706236}" sourceName="Payment Mode">
  <pivotTables>
    <pivotTable tabId="3" name="PivotTable1"/>
    <pivotTable tabId="6" name="PivotTable3"/>
    <pivotTable tabId="5" name="PivotTable2"/>
    <pivotTable tabId="4" name="PivotTable1"/>
  </pivotTables>
  <data>
    <tabular pivotCacheId="1136581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397B620-74A7-4A94-893E-CEC4C0B9B3D6}" cache="Slicer_Region" caption="Region" rowHeight="247650"/>
  <slicer name="Category" xr10:uid="{9810BD58-5E7D-4F0C-972D-76DDDB452FDE}" cache="Slicer_Category" caption="Category" rowHeight="247650"/>
  <slicer name="Payment Mode" xr10:uid="{790BD097-1D08-403E-8A2B-FABCF69131FB}" cache="Slicer_Payment_Mode" caption="Payment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E66226-0C25-4B77-9E6C-9A8C38AD63D7}" name="SalesData" displayName="SalesData" ref="A1:M31" totalsRowShown="0" headerRowDxfId="17" headerRowBorderDxfId="16" tableBorderDxfId="15" totalsRowBorderDxfId="14">
  <autoFilter ref="A1:M31" xr:uid="{28E66226-0C25-4B77-9E6C-9A8C38AD63D7}"/>
  <tableColumns count="13">
    <tableColumn id="1" xr3:uid="{8DC591D1-BC57-47F7-8C47-41DBA69C8901}" name="Order ID" dataDxfId="13"/>
    <tableColumn id="2" xr3:uid="{B0016FAD-848D-43ED-837C-D1DFB9D4B19B}" name="Order Date" dataDxfId="12"/>
    <tableColumn id="3" xr3:uid="{10529385-AEE1-4268-A875-5E07B42FBFE2}" name="Customer Name" dataDxfId="11"/>
    <tableColumn id="4" xr3:uid="{1B00BE37-119E-4D14-BC5A-409E774C3CF1}" name="Region" dataDxfId="10"/>
    <tableColumn id="5" xr3:uid="{D993ED95-67D3-4D21-B126-8C27822F5B09}" name="Category" dataDxfId="9"/>
    <tableColumn id="6" xr3:uid="{1C7BF746-913D-4237-BA8C-8FE233BF0EA3}" name="Product" dataDxfId="8"/>
    <tableColumn id="7" xr3:uid="{E1A78A2F-693C-425F-BB2A-EB16CEE08CD8}" name="Quantity" dataDxfId="7"/>
    <tableColumn id="8" xr3:uid="{1B138445-28C2-4CAE-A7EB-078E5E1D8D7A}" name="Unit Price" dataDxfId="6"/>
    <tableColumn id="9" xr3:uid="{F26B3DC3-E764-43D9-A56E-A6E30843754D}" name="Sales" dataDxfId="5">
      <calculatedColumnFormula>G2*H2*(1-J2)</calculatedColumnFormula>
    </tableColumn>
    <tableColumn id="10" xr3:uid="{C448C5FA-DFC1-4628-8796-13280FC119EC}" name="Discount" dataDxfId="4"/>
    <tableColumn id="11" xr3:uid="{243204A1-E2CF-4EF1-9A5C-25B6ADEB490F}" name="Profit" dataDxfId="3">
      <calculatedColumnFormula>I2-(I2*M2)</calculatedColumnFormula>
    </tableColumn>
    <tableColumn id="12" xr3:uid="{525F3A1F-3F17-4845-9054-7F0EDFC2886F}" name="Payment Mode" dataDxfId="2"/>
    <tableColumn id="13" xr3:uid="{3EB89C3F-CF85-46DE-B948-276FA3C7DF32}" name="Cost%" dataDxfId="1">
      <calculatedColumnFormula>IF(E2="Electronics",75%,IF(E2="Furniture",70%,IF(E2="Stationery",60%,"")))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FD458-4E7A-4512-83FE-FFDA33FA97A6}">
  <dimension ref="A3:D7"/>
  <sheetViews>
    <sheetView workbookViewId="0">
      <selection activeCell="B5" sqref="B5"/>
    </sheetView>
  </sheetViews>
  <sheetFormatPr defaultRowHeight="14.4"/>
  <cols>
    <col min="1" max="1" width="12.44140625" bestFit="1" customWidth="1"/>
    <col min="2" max="2" width="12" bestFit="1" customWidth="1"/>
    <col min="3" max="3" width="11.5546875" bestFit="1" customWidth="1"/>
  </cols>
  <sheetData>
    <row r="3" spans="1:4">
      <c r="A3" s="21" t="s">
        <v>104</v>
      </c>
      <c r="B3" t="s">
        <v>106</v>
      </c>
      <c r="C3" t="s">
        <v>107</v>
      </c>
      <c r="D3" t="s">
        <v>103</v>
      </c>
    </row>
    <row r="4" spans="1:4">
      <c r="A4" s="22" t="s">
        <v>15</v>
      </c>
      <c r="B4" s="23">
        <v>92596</v>
      </c>
      <c r="C4" s="23">
        <v>23149</v>
      </c>
      <c r="D4" s="20">
        <f>C4/B4</f>
        <v>0.25</v>
      </c>
    </row>
    <row r="5" spans="1:4">
      <c r="A5" s="22" t="s">
        <v>21</v>
      </c>
      <c r="B5" s="23">
        <v>111930</v>
      </c>
      <c r="C5" s="23">
        <v>33579</v>
      </c>
      <c r="D5" s="20">
        <f>C5/B5</f>
        <v>0.3</v>
      </c>
    </row>
    <row r="6" spans="1:4">
      <c r="A6" s="22" t="s">
        <v>30</v>
      </c>
      <c r="B6" s="23">
        <v>19300</v>
      </c>
      <c r="C6" s="23">
        <v>7720</v>
      </c>
      <c r="D6" s="20">
        <f>C6/B6</f>
        <v>0.4</v>
      </c>
    </row>
    <row r="7" spans="1:4">
      <c r="A7" s="22" t="s">
        <v>105</v>
      </c>
      <c r="B7" s="23">
        <v>223826</v>
      </c>
      <c r="C7" s="23">
        <v>64448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2FB41-63C1-40E2-80A2-2D5AD4492237}">
  <dimension ref="A3:D8"/>
  <sheetViews>
    <sheetView workbookViewId="0">
      <selection activeCell="Q11" sqref="Q11"/>
    </sheetView>
  </sheetViews>
  <sheetFormatPr defaultRowHeight="14.4"/>
  <cols>
    <col min="1" max="1" width="12.44140625" bestFit="1" customWidth="1"/>
    <col min="2" max="2" width="12" bestFit="1" customWidth="1"/>
    <col min="3" max="3" width="11.5546875" bestFit="1" customWidth="1"/>
  </cols>
  <sheetData>
    <row r="3" spans="1:4">
      <c r="A3" s="21" t="s">
        <v>104</v>
      </c>
      <c r="B3" t="s">
        <v>106</v>
      </c>
      <c r="C3" t="s">
        <v>107</v>
      </c>
      <c r="D3" t="s">
        <v>103</v>
      </c>
    </row>
    <row r="4" spans="1:4">
      <c r="A4" s="22" t="s">
        <v>35</v>
      </c>
      <c r="B4" s="23">
        <v>51474.5</v>
      </c>
      <c r="C4" s="23">
        <v>14623.625</v>
      </c>
      <c r="D4" s="20">
        <f>C4/B4</f>
        <v>0.28409455167121583</v>
      </c>
    </row>
    <row r="5" spans="1:4">
      <c r="A5" s="22" t="s">
        <v>14</v>
      </c>
      <c r="B5" s="23">
        <v>56762.5</v>
      </c>
      <c r="C5" s="23">
        <v>17138.625</v>
      </c>
      <c r="D5" s="20">
        <f t="shared" ref="D5:D7" si="0">C5/B5</f>
        <v>0.3019356969830434</v>
      </c>
    </row>
    <row r="6" spans="1:4">
      <c r="A6" s="22" t="s">
        <v>29</v>
      </c>
      <c r="B6" s="23">
        <v>65904</v>
      </c>
      <c r="C6" s="23">
        <v>18673.5</v>
      </c>
      <c r="D6" s="20">
        <f t="shared" si="0"/>
        <v>0.28334395484340857</v>
      </c>
    </row>
    <row r="7" spans="1:4">
      <c r="A7" s="22" t="s">
        <v>20</v>
      </c>
      <c r="B7" s="23">
        <v>49685</v>
      </c>
      <c r="C7" s="23">
        <v>14012.25</v>
      </c>
      <c r="D7" s="20">
        <f t="shared" si="0"/>
        <v>0.28202173694273924</v>
      </c>
    </row>
    <row r="8" spans="1:4">
      <c r="A8" s="22" t="s">
        <v>105</v>
      </c>
      <c r="B8" s="23">
        <v>223826</v>
      </c>
      <c r="C8" s="23">
        <v>64448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0328B-86EF-4042-B5A9-2227043C961A}">
  <dimension ref="A3:C9"/>
  <sheetViews>
    <sheetView workbookViewId="0">
      <selection activeCell="P6" sqref="P6"/>
    </sheetView>
  </sheetViews>
  <sheetFormatPr defaultRowHeight="14.4"/>
  <cols>
    <col min="1" max="1" width="12.44140625" bestFit="1" customWidth="1"/>
    <col min="2" max="2" width="12" bestFit="1" customWidth="1"/>
    <col min="3" max="3" width="11.5546875" bestFit="1" customWidth="1"/>
  </cols>
  <sheetData>
    <row r="3" spans="1:3">
      <c r="A3" s="21" t="s">
        <v>104</v>
      </c>
      <c r="B3" t="s">
        <v>106</v>
      </c>
      <c r="C3" t="s">
        <v>107</v>
      </c>
    </row>
    <row r="4" spans="1:3">
      <c r="A4" s="22" t="s">
        <v>22</v>
      </c>
      <c r="B4" s="23">
        <v>36720</v>
      </c>
      <c r="C4" s="23">
        <v>11016</v>
      </c>
    </row>
    <row r="5" spans="1:3">
      <c r="A5" s="22" t="s">
        <v>45</v>
      </c>
      <c r="B5" s="23">
        <v>34875</v>
      </c>
      <c r="C5" s="23">
        <v>8718.75</v>
      </c>
    </row>
    <row r="6" spans="1:3">
      <c r="A6" s="22" t="s">
        <v>39</v>
      </c>
      <c r="B6" s="23">
        <v>28860</v>
      </c>
      <c r="C6" s="23">
        <v>8658.0000000000036</v>
      </c>
    </row>
    <row r="7" spans="1:3">
      <c r="A7" s="22" t="s">
        <v>48</v>
      </c>
      <c r="B7" s="23">
        <v>23400</v>
      </c>
      <c r="C7" s="23">
        <v>7020</v>
      </c>
    </row>
    <row r="8" spans="1:3">
      <c r="A8" s="22" t="s">
        <v>57</v>
      </c>
      <c r="B8" s="23">
        <v>22950</v>
      </c>
      <c r="C8" s="23">
        <v>6885</v>
      </c>
    </row>
    <row r="9" spans="1:3">
      <c r="A9" s="22" t="s">
        <v>105</v>
      </c>
      <c r="B9" s="23">
        <v>146805</v>
      </c>
      <c r="C9" s="23">
        <v>42297.75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4387-B6E1-4B48-B6E4-6D948D18D683}">
  <dimension ref="A1:S18"/>
  <sheetViews>
    <sheetView showGridLines="0" workbookViewId="0">
      <selection activeCell="A11" sqref="A11"/>
    </sheetView>
  </sheetViews>
  <sheetFormatPr defaultRowHeight="14.4"/>
  <sheetData>
    <row r="1" spans="1:14" ht="25.8">
      <c r="A1" s="24" t="s">
        <v>113</v>
      </c>
      <c r="B1" s="24"/>
      <c r="C1" s="24"/>
      <c r="D1" s="24"/>
    </row>
    <row r="3" spans="1:14" ht="18">
      <c r="A3" s="31" t="s">
        <v>99</v>
      </c>
      <c r="B3" s="31"/>
      <c r="D3" s="33" t="s">
        <v>100</v>
      </c>
      <c r="E3" s="33"/>
      <c r="G3" s="35" t="s">
        <v>101</v>
      </c>
      <c r="H3" s="35"/>
      <c r="J3" s="26" t="s">
        <v>102</v>
      </c>
      <c r="K3" s="26"/>
      <c r="M3" s="28" t="s">
        <v>103</v>
      </c>
      <c r="N3" s="28"/>
    </row>
    <row r="4" spans="1:14" ht="14.4" customHeight="1">
      <c r="A4" s="32">
        <v>223826</v>
      </c>
      <c r="B4" s="32"/>
      <c r="D4" s="34">
        <f>Analysis!B3</f>
        <v>64448</v>
      </c>
      <c r="E4" s="34"/>
      <c r="G4" s="36">
        <f>Analysis!B4</f>
        <v>202</v>
      </c>
      <c r="H4" s="36"/>
      <c r="J4" s="27">
        <f>Analysis!B5</f>
        <v>7460.8666666666668</v>
      </c>
      <c r="K4" s="27"/>
      <c r="M4" s="29">
        <f>Analysis!B6</f>
        <v>0.28793795180184606</v>
      </c>
      <c r="N4" s="30"/>
    </row>
    <row r="5" spans="1:14" ht="14.4" customHeight="1">
      <c r="A5" s="32"/>
      <c r="B5" s="32"/>
      <c r="D5" s="34"/>
      <c r="E5" s="34"/>
      <c r="G5" s="36"/>
      <c r="H5" s="36"/>
      <c r="J5" s="27"/>
      <c r="K5" s="27"/>
      <c r="M5" s="30"/>
      <c r="N5" s="30"/>
    </row>
    <row r="6" spans="1:14" ht="27" customHeight="1">
      <c r="A6" s="25"/>
    </row>
    <row r="17" spans="16:19">
      <c r="S17" s="25"/>
    </row>
    <row r="18" spans="16:19">
      <c r="P18" s="25"/>
    </row>
  </sheetData>
  <mergeCells count="10">
    <mergeCell ref="J3:K3"/>
    <mergeCell ref="J4:K5"/>
    <mergeCell ref="M3:N3"/>
    <mergeCell ref="M4:N5"/>
    <mergeCell ref="A3:B3"/>
    <mergeCell ref="A4:B5"/>
    <mergeCell ref="D3:E3"/>
    <mergeCell ref="D4:E5"/>
    <mergeCell ref="G3:H3"/>
    <mergeCell ref="G4:H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A4816-A917-483A-AF01-3CAFBE9DAC78}">
  <dimension ref="A3:B9"/>
  <sheetViews>
    <sheetView workbookViewId="0">
      <selection activeCell="B20" sqref="B20"/>
    </sheetView>
  </sheetViews>
  <sheetFormatPr defaultRowHeight="14.4"/>
  <cols>
    <col min="1" max="1" width="12.44140625" bestFit="1" customWidth="1"/>
    <col min="2" max="2" width="12" bestFit="1" customWidth="1"/>
  </cols>
  <sheetData>
    <row r="3" spans="1:2">
      <c r="A3" s="21" t="s">
        <v>104</v>
      </c>
      <c r="B3" t="s">
        <v>106</v>
      </c>
    </row>
    <row r="4" spans="1:2">
      <c r="A4" s="22" t="s">
        <v>108</v>
      </c>
      <c r="B4" s="23">
        <v>26704.5</v>
      </c>
    </row>
    <row r="5" spans="1:2">
      <c r="A5" s="22" t="s">
        <v>109</v>
      </c>
      <c r="B5" s="23">
        <v>52462.5</v>
      </c>
    </row>
    <row r="6" spans="1:2">
      <c r="A6" s="22" t="s">
        <v>110</v>
      </c>
      <c r="B6" s="23">
        <v>41330</v>
      </c>
    </row>
    <row r="7" spans="1:2">
      <c r="A7" s="22" t="s">
        <v>111</v>
      </c>
      <c r="B7" s="23">
        <v>55229</v>
      </c>
    </row>
    <row r="8" spans="1:2">
      <c r="A8" s="22" t="s">
        <v>112</v>
      </c>
      <c r="B8" s="23">
        <v>48100</v>
      </c>
    </row>
    <row r="9" spans="1:2">
      <c r="A9" s="22" t="s">
        <v>105</v>
      </c>
      <c r="B9" s="23">
        <v>223826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392FC-5265-4A77-A001-649B7E03A3FB}">
  <dimension ref="A1:M32"/>
  <sheetViews>
    <sheetView topLeftCell="A2" workbookViewId="0">
      <selection activeCell="I11" sqref="I11"/>
    </sheetView>
  </sheetViews>
  <sheetFormatPr defaultRowHeight="14.4"/>
  <cols>
    <col min="1" max="1" width="9.77734375" style="1" customWidth="1"/>
    <col min="2" max="2" width="11.88671875" style="1" customWidth="1"/>
    <col min="3" max="3" width="16.33203125" style="1" customWidth="1"/>
    <col min="4" max="4" width="8.88671875" style="1"/>
    <col min="5" max="5" width="10.21875" style="1" customWidth="1"/>
    <col min="6" max="6" width="9.44140625" style="1" customWidth="1"/>
    <col min="7" max="7" width="10" style="1" customWidth="1"/>
    <col min="8" max="8" width="11" style="1" customWidth="1"/>
    <col min="9" max="9" width="10.44140625" style="1" bestFit="1" customWidth="1"/>
    <col min="10" max="10" width="10.21875" style="1" customWidth="1"/>
    <col min="11" max="11" width="9.44140625" style="1" bestFit="1" customWidth="1"/>
    <col min="12" max="12" width="15.109375" style="1" customWidth="1"/>
    <col min="13" max="13" width="8.88671875" style="1"/>
    <col min="14" max="14" width="10.33203125" style="1" customWidth="1"/>
    <col min="15" max="16384" width="8.88671875" style="1"/>
  </cols>
  <sheetData>
    <row r="1" spans="1:13">
      <c r="A1" s="10" t="s">
        <v>0</v>
      </c>
      <c r="B1" s="11" t="s">
        <v>1</v>
      </c>
      <c r="C1" s="11" t="s">
        <v>2</v>
      </c>
      <c r="D1" s="11" t="s">
        <v>3</v>
      </c>
      <c r="E1" s="11" t="s">
        <v>4</v>
      </c>
      <c r="F1" s="11" t="s">
        <v>5</v>
      </c>
      <c r="G1" s="11" t="s">
        <v>6</v>
      </c>
      <c r="H1" s="12" t="s">
        <v>7</v>
      </c>
      <c r="I1" s="12" t="s">
        <v>8</v>
      </c>
      <c r="J1" s="11" t="s">
        <v>9</v>
      </c>
      <c r="K1" s="12" t="s">
        <v>10</v>
      </c>
      <c r="L1" s="11" t="s">
        <v>11</v>
      </c>
      <c r="M1" s="11" t="s">
        <v>96</v>
      </c>
    </row>
    <row r="2" spans="1:13" ht="28.8">
      <c r="A2" s="9" t="s">
        <v>12</v>
      </c>
      <c r="B2" s="3">
        <v>46027</v>
      </c>
      <c r="C2" s="2" t="s">
        <v>13</v>
      </c>
      <c r="D2" s="2" t="s">
        <v>14</v>
      </c>
      <c r="E2" s="2" t="s">
        <v>15</v>
      </c>
      <c r="F2" s="2" t="s">
        <v>16</v>
      </c>
      <c r="G2" s="4">
        <v>3</v>
      </c>
      <c r="H2" s="7">
        <v>650</v>
      </c>
      <c r="I2" s="7">
        <f>G2*H2*(1-J2)</f>
        <v>1852.5</v>
      </c>
      <c r="J2" s="5">
        <v>0.05</v>
      </c>
      <c r="K2" s="7">
        <f>I2-(I2*M2)</f>
        <v>463.125</v>
      </c>
      <c r="L2" s="2" t="s">
        <v>17</v>
      </c>
      <c r="M2" s="6">
        <f>IF(E2="Electronics",75%,IF(E2="Furniture",70%,IF(E2="Stationery",60%,"")))</f>
        <v>0.75</v>
      </c>
    </row>
    <row r="3" spans="1:13" ht="28.8">
      <c r="A3" s="9" t="s">
        <v>18</v>
      </c>
      <c r="B3" s="3">
        <v>46029</v>
      </c>
      <c r="C3" s="2" t="s">
        <v>19</v>
      </c>
      <c r="D3" s="2" t="s">
        <v>20</v>
      </c>
      <c r="E3" s="2" t="s">
        <v>21</v>
      </c>
      <c r="F3" s="2" t="s">
        <v>22</v>
      </c>
      <c r="G3" s="4">
        <v>2</v>
      </c>
      <c r="H3" s="7">
        <v>4500</v>
      </c>
      <c r="I3" s="7">
        <f t="shared" ref="I3:I31" si="0">G3*H3*(1-J3)</f>
        <v>8100</v>
      </c>
      <c r="J3" s="5">
        <v>0.1</v>
      </c>
      <c r="K3" s="7">
        <f t="shared" ref="K3:K31" si="1">I3-(I3*M3)</f>
        <v>2430</v>
      </c>
      <c r="L3" s="2" t="s">
        <v>23</v>
      </c>
      <c r="M3" s="6">
        <f t="shared" ref="M3:M31" si="2">IF(E3="Electronics",75%,IF(E3="Furniture",70%,IF(E3="Stationery",60%,"")))</f>
        <v>0.7</v>
      </c>
    </row>
    <row r="4" spans="1:13">
      <c r="A4" s="9" t="s">
        <v>24</v>
      </c>
      <c r="B4" s="3">
        <v>46032</v>
      </c>
      <c r="C4" s="2" t="s">
        <v>25</v>
      </c>
      <c r="D4" s="2" t="s">
        <v>14</v>
      </c>
      <c r="E4" s="2" t="s">
        <v>15</v>
      </c>
      <c r="F4" s="2" t="s">
        <v>26</v>
      </c>
      <c r="G4" s="4">
        <v>4</v>
      </c>
      <c r="H4" s="7">
        <v>900</v>
      </c>
      <c r="I4" s="7">
        <f t="shared" si="0"/>
        <v>3420</v>
      </c>
      <c r="J4" s="5">
        <v>0.05</v>
      </c>
      <c r="K4" s="7">
        <f t="shared" si="1"/>
        <v>855</v>
      </c>
      <c r="L4" s="2" t="s">
        <v>17</v>
      </c>
      <c r="M4" s="6">
        <f t="shared" si="2"/>
        <v>0.75</v>
      </c>
    </row>
    <row r="5" spans="1:13" ht="28.8">
      <c r="A5" s="9" t="s">
        <v>27</v>
      </c>
      <c r="B5" s="3">
        <v>46036</v>
      </c>
      <c r="C5" s="2" t="s">
        <v>28</v>
      </c>
      <c r="D5" s="2" t="s">
        <v>29</v>
      </c>
      <c r="E5" s="2" t="s">
        <v>30</v>
      </c>
      <c r="F5" s="2" t="s">
        <v>31</v>
      </c>
      <c r="G5" s="4">
        <v>10</v>
      </c>
      <c r="H5" s="7">
        <v>250</v>
      </c>
      <c r="I5" s="7">
        <f t="shared" si="0"/>
        <v>2500</v>
      </c>
      <c r="J5" s="5">
        <v>0</v>
      </c>
      <c r="K5" s="7">
        <f t="shared" si="1"/>
        <v>1000</v>
      </c>
      <c r="L5" s="2" t="s">
        <v>32</v>
      </c>
      <c r="M5" s="6">
        <f t="shared" si="2"/>
        <v>0.6</v>
      </c>
    </row>
    <row r="6" spans="1:13" ht="28.8">
      <c r="A6" s="9" t="s">
        <v>33</v>
      </c>
      <c r="B6" s="3">
        <v>46040</v>
      </c>
      <c r="C6" s="2" t="s">
        <v>34</v>
      </c>
      <c r="D6" s="2" t="s">
        <v>35</v>
      </c>
      <c r="E6" s="2" t="s">
        <v>15</v>
      </c>
      <c r="F6" s="2" t="s">
        <v>36</v>
      </c>
      <c r="G6" s="4">
        <v>2</v>
      </c>
      <c r="H6" s="7">
        <v>1800</v>
      </c>
      <c r="I6" s="7">
        <f t="shared" si="0"/>
        <v>3312</v>
      </c>
      <c r="J6" s="5">
        <v>0.08</v>
      </c>
      <c r="K6" s="7">
        <f t="shared" si="1"/>
        <v>828</v>
      </c>
      <c r="L6" s="2" t="s">
        <v>23</v>
      </c>
      <c r="M6" s="6">
        <f t="shared" si="2"/>
        <v>0.75</v>
      </c>
    </row>
    <row r="7" spans="1:13" ht="28.8">
      <c r="A7" s="9" t="s">
        <v>37</v>
      </c>
      <c r="B7" s="3">
        <v>46044</v>
      </c>
      <c r="C7" s="2" t="s">
        <v>38</v>
      </c>
      <c r="D7" s="2" t="s">
        <v>20</v>
      </c>
      <c r="E7" s="2" t="s">
        <v>21</v>
      </c>
      <c r="F7" s="2" t="s">
        <v>39</v>
      </c>
      <c r="G7" s="4">
        <v>1</v>
      </c>
      <c r="H7" s="7">
        <v>6500</v>
      </c>
      <c r="I7" s="7">
        <f t="shared" si="0"/>
        <v>5720</v>
      </c>
      <c r="J7" s="5">
        <v>0.12</v>
      </c>
      <c r="K7" s="7">
        <f t="shared" si="1"/>
        <v>1716.0000000000005</v>
      </c>
      <c r="L7" s="2" t="s">
        <v>17</v>
      </c>
      <c r="M7" s="6">
        <f t="shared" si="2"/>
        <v>0.7</v>
      </c>
    </row>
    <row r="8" spans="1:13">
      <c r="A8" s="9" t="s">
        <v>40</v>
      </c>
      <c r="B8" s="3">
        <v>46049</v>
      </c>
      <c r="C8" s="2" t="s">
        <v>41</v>
      </c>
      <c r="D8" s="2" t="s">
        <v>14</v>
      </c>
      <c r="E8" s="2" t="s">
        <v>30</v>
      </c>
      <c r="F8" s="2" t="s">
        <v>42</v>
      </c>
      <c r="G8" s="4">
        <v>15</v>
      </c>
      <c r="H8" s="7">
        <v>120</v>
      </c>
      <c r="I8" s="7">
        <f t="shared" si="0"/>
        <v>1800</v>
      </c>
      <c r="J8" s="5">
        <v>0</v>
      </c>
      <c r="K8" s="7">
        <f t="shared" si="1"/>
        <v>720</v>
      </c>
      <c r="L8" s="2" t="s">
        <v>32</v>
      </c>
      <c r="M8" s="6">
        <f t="shared" si="2"/>
        <v>0.6</v>
      </c>
    </row>
    <row r="9" spans="1:13">
      <c r="A9" s="9" t="s">
        <v>43</v>
      </c>
      <c r="B9" s="3">
        <v>46055</v>
      </c>
      <c r="C9" s="2" t="s">
        <v>44</v>
      </c>
      <c r="D9" s="2" t="s">
        <v>29</v>
      </c>
      <c r="E9" s="2" t="s">
        <v>15</v>
      </c>
      <c r="F9" s="2" t="s">
        <v>45</v>
      </c>
      <c r="G9" s="4">
        <v>2</v>
      </c>
      <c r="H9" s="7">
        <v>12500</v>
      </c>
      <c r="I9" s="7">
        <f t="shared" si="0"/>
        <v>23250</v>
      </c>
      <c r="J9" s="5">
        <v>7.0000000000000007E-2</v>
      </c>
      <c r="K9" s="7">
        <f t="shared" si="1"/>
        <v>5812.5</v>
      </c>
      <c r="L9" s="2" t="s">
        <v>23</v>
      </c>
      <c r="M9" s="6">
        <f t="shared" si="2"/>
        <v>0.75</v>
      </c>
    </row>
    <row r="10" spans="1:13">
      <c r="A10" s="9" t="s">
        <v>46</v>
      </c>
      <c r="B10" s="3">
        <v>46059</v>
      </c>
      <c r="C10" s="2" t="s">
        <v>47</v>
      </c>
      <c r="D10" s="2" t="s">
        <v>35</v>
      </c>
      <c r="E10" s="2" t="s">
        <v>21</v>
      </c>
      <c r="F10" s="2" t="s">
        <v>48</v>
      </c>
      <c r="G10" s="4">
        <v>2</v>
      </c>
      <c r="H10" s="7">
        <v>5200</v>
      </c>
      <c r="I10" s="7">
        <f t="shared" si="0"/>
        <v>9360</v>
      </c>
      <c r="J10" s="5">
        <v>0.1</v>
      </c>
      <c r="K10" s="7">
        <f t="shared" si="1"/>
        <v>2808</v>
      </c>
      <c r="L10" s="2" t="s">
        <v>17</v>
      </c>
      <c r="M10" s="6">
        <f t="shared" si="2"/>
        <v>0.7</v>
      </c>
    </row>
    <row r="11" spans="1:13">
      <c r="A11" s="9" t="s">
        <v>49</v>
      </c>
      <c r="B11" s="3">
        <v>46064</v>
      </c>
      <c r="C11" s="2" t="s">
        <v>50</v>
      </c>
      <c r="D11" s="2" t="s">
        <v>14</v>
      </c>
      <c r="E11" s="2" t="s">
        <v>30</v>
      </c>
      <c r="F11" s="2" t="s">
        <v>51</v>
      </c>
      <c r="G11" s="4">
        <v>20</v>
      </c>
      <c r="H11" s="7">
        <v>90</v>
      </c>
      <c r="I11" s="7">
        <f t="shared" si="0"/>
        <v>1800</v>
      </c>
      <c r="J11" s="5">
        <v>0</v>
      </c>
      <c r="K11" s="7">
        <f t="shared" si="1"/>
        <v>720</v>
      </c>
      <c r="L11" s="2" t="s">
        <v>32</v>
      </c>
      <c r="M11" s="6">
        <f t="shared" si="2"/>
        <v>0.6</v>
      </c>
    </row>
    <row r="12" spans="1:13">
      <c r="A12" s="9" t="s">
        <v>52</v>
      </c>
      <c r="B12" s="3">
        <v>46068</v>
      </c>
      <c r="C12" s="2" t="s">
        <v>53</v>
      </c>
      <c r="D12" s="2" t="s">
        <v>20</v>
      </c>
      <c r="E12" s="2" t="s">
        <v>15</v>
      </c>
      <c r="F12" s="2" t="s">
        <v>54</v>
      </c>
      <c r="G12" s="4">
        <v>3</v>
      </c>
      <c r="H12" s="7">
        <v>2400</v>
      </c>
      <c r="I12" s="7">
        <f t="shared" si="0"/>
        <v>6840</v>
      </c>
      <c r="J12" s="5">
        <v>0.05</v>
      </c>
      <c r="K12" s="7">
        <f t="shared" si="1"/>
        <v>1710</v>
      </c>
      <c r="L12" s="2" t="s">
        <v>23</v>
      </c>
      <c r="M12" s="6">
        <f t="shared" si="2"/>
        <v>0.75</v>
      </c>
    </row>
    <row r="13" spans="1:13" ht="28.8">
      <c r="A13" s="9" t="s">
        <v>55</v>
      </c>
      <c r="B13" s="3">
        <v>46072</v>
      </c>
      <c r="C13" s="2" t="s">
        <v>56</v>
      </c>
      <c r="D13" s="2" t="s">
        <v>29</v>
      </c>
      <c r="E13" s="2" t="s">
        <v>21</v>
      </c>
      <c r="F13" s="2" t="s">
        <v>57</v>
      </c>
      <c r="G13" s="4">
        <v>1</v>
      </c>
      <c r="H13" s="7">
        <v>8500</v>
      </c>
      <c r="I13" s="7">
        <f t="shared" si="0"/>
        <v>7650</v>
      </c>
      <c r="J13" s="5">
        <v>0.1</v>
      </c>
      <c r="K13" s="7">
        <f t="shared" si="1"/>
        <v>2295</v>
      </c>
      <c r="L13" s="2" t="s">
        <v>17</v>
      </c>
      <c r="M13" s="6">
        <f t="shared" si="2"/>
        <v>0.7</v>
      </c>
    </row>
    <row r="14" spans="1:13">
      <c r="A14" s="9" t="s">
        <v>58</v>
      </c>
      <c r="B14" s="3">
        <v>46077</v>
      </c>
      <c r="C14" s="2" t="s">
        <v>59</v>
      </c>
      <c r="D14" s="2" t="s">
        <v>35</v>
      </c>
      <c r="E14" s="2" t="s">
        <v>15</v>
      </c>
      <c r="F14" s="2" t="s">
        <v>60</v>
      </c>
      <c r="G14" s="4">
        <v>5</v>
      </c>
      <c r="H14" s="7">
        <v>750</v>
      </c>
      <c r="I14" s="7">
        <f t="shared" si="0"/>
        <v>3562.5</v>
      </c>
      <c r="J14" s="5">
        <v>0.05</v>
      </c>
      <c r="K14" s="7">
        <f t="shared" si="1"/>
        <v>890.625</v>
      </c>
      <c r="L14" s="2" t="s">
        <v>32</v>
      </c>
      <c r="M14" s="6">
        <f t="shared" si="2"/>
        <v>0.75</v>
      </c>
    </row>
    <row r="15" spans="1:13" ht="28.8">
      <c r="A15" s="9" t="s">
        <v>61</v>
      </c>
      <c r="B15" s="3">
        <v>46084</v>
      </c>
      <c r="C15" s="2" t="s">
        <v>62</v>
      </c>
      <c r="D15" s="2" t="s">
        <v>14</v>
      </c>
      <c r="E15" s="2" t="s">
        <v>21</v>
      </c>
      <c r="F15" s="2" t="s">
        <v>22</v>
      </c>
      <c r="G15" s="4">
        <v>3</v>
      </c>
      <c r="H15" s="7">
        <v>4500</v>
      </c>
      <c r="I15" s="7">
        <f t="shared" si="0"/>
        <v>12420</v>
      </c>
      <c r="J15" s="5">
        <v>0.08</v>
      </c>
      <c r="K15" s="7">
        <f t="shared" si="1"/>
        <v>3726</v>
      </c>
      <c r="L15" s="2" t="s">
        <v>23</v>
      </c>
      <c r="M15" s="6">
        <f t="shared" si="2"/>
        <v>0.7</v>
      </c>
    </row>
    <row r="16" spans="1:13" ht="28.8">
      <c r="A16" s="9" t="s">
        <v>63</v>
      </c>
      <c r="B16" s="3">
        <v>46089</v>
      </c>
      <c r="C16" s="2" t="s">
        <v>64</v>
      </c>
      <c r="D16" s="2" t="s">
        <v>20</v>
      </c>
      <c r="E16" s="2" t="s">
        <v>30</v>
      </c>
      <c r="F16" s="2" t="s">
        <v>31</v>
      </c>
      <c r="G16" s="4">
        <v>12</v>
      </c>
      <c r="H16" s="7">
        <v>250</v>
      </c>
      <c r="I16" s="7">
        <f t="shared" si="0"/>
        <v>3000</v>
      </c>
      <c r="J16" s="5">
        <v>0</v>
      </c>
      <c r="K16" s="7">
        <f t="shared" si="1"/>
        <v>1200</v>
      </c>
      <c r="L16" s="2" t="s">
        <v>17</v>
      </c>
      <c r="M16" s="6">
        <f t="shared" si="2"/>
        <v>0.6</v>
      </c>
    </row>
    <row r="17" spans="1:13" ht="28.8">
      <c r="A17" s="9" t="s">
        <v>65</v>
      </c>
      <c r="B17" s="3">
        <v>46094</v>
      </c>
      <c r="C17" s="2" t="s">
        <v>66</v>
      </c>
      <c r="D17" s="2" t="s">
        <v>29</v>
      </c>
      <c r="E17" s="2" t="s">
        <v>15</v>
      </c>
      <c r="F17" s="2" t="s">
        <v>67</v>
      </c>
      <c r="G17" s="4">
        <v>4</v>
      </c>
      <c r="H17" s="7">
        <v>1600</v>
      </c>
      <c r="I17" s="7">
        <f t="shared" si="0"/>
        <v>6080</v>
      </c>
      <c r="J17" s="5">
        <v>0.05</v>
      </c>
      <c r="K17" s="7">
        <f t="shared" si="1"/>
        <v>1520</v>
      </c>
      <c r="L17" s="2" t="s">
        <v>23</v>
      </c>
      <c r="M17" s="6">
        <f t="shared" si="2"/>
        <v>0.75</v>
      </c>
    </row>
    <row r="18" spans="1:13" ht="28.8">
      <c r="A18" s="9" t="s">
        <v>68</v>
      </c>
      <c r="B18" s="3">
        <v>46099</v>
      </c>
      <c r="C18" s="2" t="s">
        <v>69</v>
      </c>
      <c r="D18" s="2" t="s">
        <v>35</v>
      </c>
      <c r="E18" s="2" t="s">
        <v>21</v>
      </c>
      <c r="F18" s="2" t="s">
        <v>39</v>
      </c>
      <c r="G18" s="4">
        <v>2</v>
      </c>
      <c r="H18" s="7">
        <v>6500</v>
      </c>
      <c r="I18" s="7">
        <f t="shared" si="0"/>
        <v>11700</v>
      </c>
      <c r="J18" s="5">
        <v>0.1</v>
      </c>
      <c r="K18" s="7">
        <f t="shared" si="1"/>
        <v>3510.0000000000009</v>
      </c>
      <c r="L18" s="2" t="s">
        <v>17</v>
      </c>
      <c r="M18" s="6">
        <f t="shared" si="2"/>
        <v>0.7</v>
      </c>
    </row>
    <row r="19" spans="1:13">
      <c r="A19" s="9" t="s">
        <v>70</v>
      </c>
      <c r="B19" s="3">
        <v>46103</v>
      </c>
      <c r="C19" s="2" t="s">
        <v>71</v>
      </c>
      <c r="D19" s="2" t="s">
        <v>14</v>
      </c>
      <c r="E19" s="2" t="s">
        <v>15</v>
      </c>
      <c r="F19" s="2" t="s">
        <v>26</v>
      </c>
      <c r="G19" s="4">
        <v>6</v>
      </c>
      <c r="H19" s="7">
        <v>900</v>
      </c>
      <c r="I19" s="7">
        <f t="shared" si="0"/>
        <v>5130</v>
      </c>
      <c r="J19" s="5">
        <v>0.05</v>
      </c>
      <c r="K19" s="7">
        <f t="shared" si="1"/>
        <v>1282.5</v>
      </c>
      <c r="L19" s="2" t="s">
        <v>32</v>
      </c>
      <c r="M19" s="6">
        <f t="shared" si="2"/>
        <v>0.75</v>
      </c>
    </row>
    <row r="20" spans="1:13">
      <c r="A20" s="9" t="s">
        <v>72</v>
      </c>
      <c r="B20" s="3">
        <v>46109</v>
      </c>
      <c r="C20" s="2" t="s">
        <v>73</v>
      </c>
      <c r="D20" s="2" t="s">
        <v>20</v>
      </c>
      <c r="E20" s="2" t="s">
        <v>30</v>
      </c>
      <c r="F20" s="2" t="s">
        <v>42</v>
      </c>
      <c r="G20" s="4">
        <v>25</v>
      </c>
      <c r="H20" s="7">
        <v>120</v>
      </c>
      <c r="I20" s="7">
        <f t="shared" si="0"/>
        <v>3000</v>
      </c>
      <c r="J20" s="5">
        <v>0</v>
      </c>
      <c r="K20" s="7">
        <f t="shared" si="1"/>
        <v>1200</v>
      </c>
      <c r="L20" s="2" t="s">
        <v>32</v>
      </c>
      <c r="M20" s="6">
        <f t="shared" si="2"/>
        <v>0.6</v>
      </c>
    </row>
    <row r="21" spans="1:13" ht="28.8">
      <c r="A21" s="9" t="s">
        <v>74</v>
      </c>
      <c r="B21" s="3">
        <v>46116</v>
      </c>
      <c r="C21" s="2" t="s">
        <v>75</v>
      </c>
      <c r="D21" s="2" t="s">
        <v>29</v>
      </c>
      <c r="E21" s="2" t="s">
        <v>15</v>
      </c>
      <c r="F21" s="2" t="s">
        <v>36</v>
      </c>
      <c r="G21" s="4">
        <v>4</v>
      </c>
      <c r="H21" s="7">
        <v>1800</v>
      </c>
      <c r="I21" s="7">
        <f t="shared" si="0"/>
        <v>6624</v>
      </c>
      <c r="J21" s="5">
        <v>0.08</v>
      </c>
      <c r="K21" s="7">
        <f t="shared" si="1"/>
        <v>1656</v>
      </c>
      <c r="L21" s="2" t="s">
        <v>23</v>
      </c>
      <c r="M21" s="6">
        <f t="shared" si="2"/>
        <v>0.75</v>
      </c>
    </row>
    <row r="22" spans="1:13">
      <c r="A22" s="9" t="s">
        <v>76</v>
      </c>
      <c r="B22" s="3">
        <v>46121</v>
      </c>
      <c r="C22" s="2" t="s">
        <v>77</v>
      </c>
      <c r="D22" s="2" t="s">
        <v>35</v>
      </c>
      <c r="E22" s="2" t="s">
        <v>21</v>
      </c>
      <c r="F22" s="2" t="s">
        <v>48</v>
      </c>
      <c r="G22" s="4">
        <v>3</v>
      </c>
      <c r="H22" s="7">
        <v>5200</v>
      </c>
      <c r="I22" s="7">
        <f t="shared" si="0"/>
        <v>14040</v>
      </c>
      <c r="J22" s="5">
        <v>0.1</v>
      </c>
      <c r="K22" s="7">
        <f t="shared" si="1"/>
        <v>4212</v>
      </c>
      <c r="L22" s="2" t="s">
        <v>17</v>
      </c>
      <c r="M22" s="6">
        <f t="shared" si="2"/>
        <v>0.7</v>
      </c>
    </row>
    <row r="23" spans="1:13">
      <c r="A23" s="9" t="s">
        <v>78</v>
      </c>
      <c r="B23" s="3">
        <v>46126</v>
      </c>
      <c r="C23" s="2" t="s">
        <v>79</v>
      </c>
      <c r="D23" s="2" t="s">
        <v>14</v>
      </c>
      <c r="E23" s="2" t="s">
        <v>30</v>
      </c>
      <c r="F23" s="2" t="s">
        <v>51</v>
      </c>
      <c r="G23" s="4">
        <v>30</v>
      </c>
      <c r="H23" s="7">
        <v>90</v>
      </c>
      <c r="I23" s="7">
        <f t="shared" si="0"/>
        <v>2700</v>
      </c>
      <c r="J23" s="5">
        <v>0</v>
      </c>
      <c r="K23" s="7">
        <f t="shared" si="1"/>
        <v>1080</v>
      </c>
      <c r="L23" s="2" t="s">
        <v>32</v>
      </c>
      <c r="M23" s="6">
        <f t="shared" si="2"/>
        <v>0.6</v>
      </c>
    </row>
    <row r="24" spans="1:13">
      <c r="A24" s="9" t="s">
        <v>80</v>
      </c>
      <c r="B24" s="3">
        <v>46131</v>
      </c>
      <c r="C24" s="2" t="s">
        <v>81</v>
      </c>
      <c r="D24" s="2" t="s">
        <v>20</v>
      </c>
      <c r="E24" s="2" t="s">
        <v>15</v>
      </c>
      <c r="F24" s="2" t="s">
        <v>45</v>
      </c>
      <c r="G24" s="4">
        <v>1</v>
      </c>
      <c r="H24" s="7">
        <v>12500</v>
      </c>
      <c r="I24" s="7">
        <f t="shared" si="0"/>
        <v>11625</v>
      </c>
      <c r="J24" s="5">
        <v>7.0000000000000007E-2</v>
      </c>
      <c r="K24" s="7">
        <f t="shared" si="1"/>
        <v>2906.25</v>
      </c>
      <c r="L24" s="2" t="s">
        <v>23</v>
      </c>
      <c r="M24" s="6">
        <f t="shared" si="2"/>
        <v>0.75</v>
      </c>
    </row>
    <row r="25" spans="1:13" ht="28.8">
      <c r="A25" s="9" t="s">
        <v>82</v>
      </c>
      <c r="B25" s="3">
        <v>46136</v>
      </c>
      <c r="C25" s="2" t="s">
        <v>83</v>
      </c>
      <c r="D25" s="2" t="s">
        <v>29</v>
      </c>
      <c r="E25" s="2" t="s">
        <v>21</v>
      </c>
      <c r="F25" s="2" t="s">
        <v>57</v>
      </c>
      <c r="G25" s="4">
        <v>2</v>
      </c>
      <c r="H25" s="7">
        <v>8500</v>
      </c>
      <c r="I25" s="7">
        <f t="shared" si="0"/>
        <v>15300</v>
      </c>
      <c r="J25" s="5">
        <v>0.1</v>
      </c>
      <c r="K25" s="7">
        <f t="shared" si="1"/>
        <v>4590</v>
      </c>
      <c r="L25" s="2" t="s">
        <v>17</v>
      </c>
      <c r="M25" s="6">
        <f t="shared" si="2"/>
        <v>0.7</v>
      </c>
    </row>
    <row r="26" spans="1:13" ht="28.8">
      <c r="A26" s="9" t="s">
        <v>84</v>
      </c>
      <c r="B26" s="3">
        <v>46141</v>
      </c>
      <c r="C26" s="2" t="s">
        <v>85</v>
      </c>
      <c r="D26" s="2" t="s">
        <v>35</v>
      </c>
      <c r="E26" s="2" t="s">
        <v>15</v>
      </c>
      <c r="F26" s="2" t="s">
        <v>16</v>
      </c>
      <c r="G26" s="4">
        <v>8</v>
      </c>
      <c r="H26" s="7">
        <v>650</v>
      </c>
      <c r="I26" s="7">
        <f t="shared" si="0"/>
        <v>4940</v>
      </c>
      <c r="J26" s="5">
        <v>0.05</v>
      </c>
      <c r="K26" s="7">
        <f t="shared" si="1"/>
        <v>1235</v>
      </c>
      <c r="L26" s="2" t="s">
        <v>32</v>
      </c>
      <c r="M26" s="6">
        <f t="shared" si="2"/>
        <v>0.75</v>
      </c>
    </row>
    <row r="27" spans="1:13" ht="28.8">
      <c r="A27" s="9" t="s">
        <v>86</v>
      </c>
      <c r="B27" s="3">
        <v>46147</v>
      </c>
      <c r="C27" s="2" t="s">
        <v>87</v>
      </c>
      <c r="D27" s="2" t="s">
        <v>14</v>
      </c>
      <c r="E27" s="2" t="s">
        <v>21</v>
      </c>
      <c r="F27" s="2" t="s">
        <v>39</v>
      </c>
      <c r="G27" s="4">
        <v>2</v>
      </c>
      <c r="H27" s="7">
        <v>6500</v>
      </c>
      <c r="I27" s="7">
        <f t="shared" si="0"/>
        <v>11440</v>
      </c>
      <c r="J27" s="5">
        <v>0.12</v>
      </c>
      <c r="K27" s="7">
        <f t="shared" si="1"/>
        <v>3432.0000000000009</v>
      </c>
      <c r="L27" s="2" t="s">
        <v>23</v>
      </c>
      <c r="M27" s="6">
        <f t="shared" si="2"/>
        <v>0.7</v>
      </c>
    </row>
    <row r="28" spans="1:13">
      <c r="A28" s="9" t="s">
        <v>88</v>
      </c>
      <c r="B28" s="3">
        <v>46153</v>
      </c>
      <c r="C28" s="2" t="s">
        <v>89</v>
      </c>
      <c r="D28" s="2" t="s">
        <v>20</v>
      </c>
      <c r="E28" s="2" t="s">
        <v>15</v>
      </c>
      <c r="F28" s="2" t="s">
        <v>54</v>
      </c>
      <c r="G28" s="4">
        <v>5</v>
      </c>
      <c r="H28" s="7">
        <v>2400</v>
      </c>
      <c r="I28" s="7">
        <f t="shared" si="0"/>
        <v>11400</v>
      </c>
      <c r="J28" s="5">
        <v>0.05</v>
      </c>
      <c r="K28" s="7">
        <f t="shared" si="1"/>
        <v>2850</v>
      </c>
      <c r="L28" s="2" t="s">
        <v>17</v>
      </c>
      <c r="M28" s="6">
        <f t="shared" si="2"/>
        <v>0.75</v>
      </c>
    </row>
    <row r="29" spans="1:13" ht="28.8">
      <c r="A29" s="9" t="s">
        <v>90</v>
      </c>
      <c r="B29" s="3">
        <v>46159</v>
      </c>
      <c r="C29" s="2" t="s">
        <v>91</v>
      </c>
      <c r="D29" s="2" t="s">
        <v>29</v>
      </c>
      <c r="E29" s="2" t="s">
        <v>30</v>
      </c>
      <c r="F29" s="2" t="s">
        <v>31</v>
      </c>
      <c r="G29" s="4">
        <v>18</v>
      </c>
      <c r="H29" s="7">
        <v>250</v>
      </c>
      <c r="I29" s="7">
        <f t="shared" si="0"/>
        <v>4500</v>
      </c>
      <c r="J29" s="5">
        <v>0</v>
      </c>
      <c r="K29" s="7">
        <f t="shared" si="1"/>
        <v>1800</v>
      </c>
      <c r="L29" s="2" t="s">
        <v>32</v>
      </c>
      <c r="M29" s="6">
        <f t="shared" si="2"/>
        <v>0.6</v>
      </c>
    </row>
    <row r="30" spans="1:13" ht="28.8">
      <c r="A30" s="9" t="s">
        <v>92</v>
      </c>
      <c r="B30" s="3">
        <v>46165</v>
      </c>
      <c r="C30" s="2" t="s">
        <v>93</v>
      </c>
      <c r="D30" s="2" t="s">
        <v>35</v>
      </c>
      <c r="E30" s="2" t="s">
        <v>15</v>
      </c>
      <c r="F30" s="2" t="s">
        <v>67</v>
      </c>
      <c r="G30" s="4">
        <v>3</v>
      </c>
      <c r="H30" s="7">
        <v>1600</v>
      </c>
      <c r="I30" s="7">
        <f t="shared" si="0"/>
        <v>4560</v>
      </c>
      <c r="J30" s="5">
        <v>0.05</v>
      </c>
      <c r="K30" s="7">
        <f t="shared" si="1"/>
        <v>1140</v>
      </c>
      <c r="L30" s="2" t="s">
        <v>23</v>
      </c>
      <c r="M30" s="6">
        <f t="shared" si="2"/>
        <v>0.75</v>
      </c>
    </row>
    <row r="31" spans="1:13" ht="28.8">
      <c r="A31" s="13" t="s">
        <v>94</v>
      </c>
      <c r="B31" s="14">
        <v>46172</v>
      </c>
      <c r="C31" s="15" t="s">
        <v>95</v>
      </c>
      <c r="D31" s="15" t="s">
        <v>14</v>
      </c>
      <c r="E31" s="15" t="s">
        <v>21</v>
      </c>
      <c r="F31" s="15" t="s">
        <v>22</v>
      </c>
      <c r="G31" s="16">
        <v>4</v>
      </c>
      <c r="H31" s="17">
        <v>4500</v>
      </c>
      <c r="I31" s="17">
        <f t="shared" si="0"/>
        <v>16200</v>
      </c>
      <c r="J31" s="18">
        <v>0.1</v>
      </c>
      <c r="K31" s="17">
        <f t="shared" si="1"/>
        <v>4860</v>
      </c>
      <c r="L31" s="15" t="s">
        <v>17</v>
      </c>
      <c r="M31" s="19">
        <f t="shared" si="2"/>
        <v>0.7</v>
      </c>
    </row>
    <row r="32" spans="1:13">
      <c r="I32" s="8"/>
    </row>
  </sheetData>
  <conditionalFormatting sqref="A2:A31">
    <cfRule type="duplicateValues" dxfId="0"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A00ED-AD8B-42C9-A90E-C67D13B22FAD}">
  <dimension ref="A1:B6"/>
  <sheetViews>
    <sheetView workbookViewId="0">
      <selection activeCell="B6" sqref="B6"/>
    </sheetView>
  </sheetViews>
  <sheetFormatPr defaultRowHeight="14.4"/>
  <sheetData>
    <row r="1" spans="1:2">
      <c r="A1" t="s">
        <v>97</v>
      </c>
      <c r="B1" t="s">
        <v>98</v>
      </c>
    </row>
    <row r="2" spans="1:2">
      <c r="A2" t="s">
        <v>99</v>
      </c>
      <c r="B2">
        <f>SUM(SalesData[Sales])</f>
        <v>223826</v>
      </c>
    </row>
    <row r="3" spans="1:2">
      <c r="A3" t="s">
        <v>100</v>
      </c>
      <c r="B3">
        <f>SUM(SalesData[Profit])</f>
        <v>64448</v>
      </c>
    </row>
    <row r="4" spans="1:2">
      <c r="A4" t="s">
        <v>101</v>
      </c>
      <c r="B4">
        <f>SUM(SalesData[Quantity])</f>
        <v>202</v>
      </c>
    </row>
    <row r="5" spans="1:2">
      <c r="A5" t="s">
        <v>102</v>
      </c>
      <c r="B5">
        <f>AVERAGE(SalesData[Sales])</f>
        <v>7460.8666666666668</v>
      </c>
    </row>
    <row r="6" spans="1:2">
      <c r="A6" t="s">
        <v>103</v>
      </c>
      <c r="B6" s="20">
        <f>B3/B2</f>
        <v>0.28793795180184606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F56AC-4B03-44D9-AEDB-A22FC9B2198C}">
  <dimension ref="B2:AQ68"/>
  <sheetViews>
    <sheetView tabSelected="1" topLeftCell="A54" workbookViewId="0">
      <selection activeCell="B71" sqref="B71"/>
    </sheetView>
  </sheetViews>
  <sheetFormatPr defaultRowHeight="14.4"/>
  <sheetData>
    <row r="2" spans="2:29" ht="18">
      <c r="B2" s="39" t="s">
        <v>114</v>
      </c>
    </row>
    <row r="4" spans="2:29" ht="15.6">
      <c r="B4" s="40" t="s">
        <v>115</v>
      </c>
      <c r="C4" s="40"/>
      <c r="D4" s="40"/>
      <c r="E4" s="40"/>
      <c r="F4" s="40"/>
      <c r="G4" s="40"/>
      <c r="H4" s="40"/>
      <c r="I4" s="40"/>
      <c r="J4" s="40"/>
      <c r="K4" s="40"/>
      <c r="L4" s="40"/>
      <c r="M4" s="40"/>
      <c r="N4" s="40"/>
      <c r="O4" s="40"/>
      <c r="P4" s="40"/>
      <c r="Q4" s="40"/>
      <c r="R4" s="40"/>
      <c r="S4" s="40"/>
      <c r="T4" s="40"/>
      <c r="U4" s="40"/>
      <c r="V4" s="40"/>
      <c r="W4" s="40"/>
      <c r="X4" s="40"/>
      <c r="Y4" s="40"/>
      <c r="Z4" s="40"/>
      <c r="AA4" s="40"/>
      <c r="AB4" s="40"/>
      <c r="AC4" s="40"/>
    </row>
    <row r="7" spans="2:29" ht="18">
      <c r="B7" s="39" t="s">
        <v>130</v>
      </c>
    </row>
    <row r="9" spans="2:29" ht="15.6">
      <c r="B9" s="37" t="s">
        <v>116</v>
      </c>
      <c r="C9" s="40"/>
      <c r="D9" s="40"/>
    </row>
    <row r="10" spans="2:29" ht="15.6">
      <c r="B10" t="s">
        <v>117</v>
      </c>
      <c r="C10" s="40"/>
      <c r="D10" s="40"/>
    </row>
    <row r="11" spans="2:29" ht="15.6">
      <c r="B11" t="s">
        <v>118</v>
      </c>
      <c r="C11" s="40"/>
      <c r="D11" s="40"/>
    </row>
    <row r="12" spans="2:29" ht="15.6">
      <c r="B12" s="38" t="s">
        <v>119</v>
      </c>
      <c r="C12" s="40"/>
      <c r="D12" s="40"/>
    </row>
    <row r="13" spans="2:29" ht="15.6">
      <c r="B13" s="38" t="s">
        <v>120</v>
      </c>
      <c r="C13" s="40"/>
      <c r="D13" s="40"/>
    </row>
    <row r="14" spans="2:29" ht="15.6">
      <c r="B14" t="s">
        <v>121</v>
      </c>
      <c r="C14" s="40"/>
      <c r="D14" s="40"/>
    </row>
    <row r="15" spans="2:29" ht="15.6">
      <c r="B15" t="s">
        <v>122</v>
      </c>
      <c r="C15" s="40"/>
      <c r="D15" s="40"/>
    </row>
    <row r="16" spans="2:29">
      <c r="B16" t="s">
        <v>123</v>
      </c>
    </row>
    <row r="17" spans="2:13">
      <c r="B17" t="s">
        <v>124</v>
      </c>
    </row>
    <row r="18" spans="2:13">
      <c r="B18" t="s">
        <v>125</v>
      </c>
    </row>
    <row r="19" spans="2:13">
      <c r="B19" t="s">
        <v>126</v>
      </c>
    </row>
    <row r="20" spans="2:13">
      <c r="B20" t="s">
        <v>127</v>
      </c>
    </row>
    <row r="21" spans="2:13">
      <c r="B21" t="s">
        <v>128</v>
      </c>
    </row>
    <row r="24" spans="2:13" ht="18">
      <c r="B24" s="39" t="s">
        <v>129</v>
      </c>
    </row>
    <row r="26" spans="2:13" ht="15.6">
      <c r="B26" s="41" t="s">
        <v>131</v>
      </c>
      <c r="C26" s="40"/>
      <c r="D26" s="40"/>
      <c r="E26" s="40"/>
      <c r="F26" s="40"/>
      <c r="G26" s="40"/>
      <c r="H26" s="40"/>
      <c r="I26" s="40"/>
      <c r="J26" s="40"/>
      <c r="K26" s="40"/>
      <c r="L26" s="40"/>
      <c r="M26" s="40"/>
    </row>
    <row r="27" spans="2:13" ht="15.6">
      <c r="B27" s="41" t="s">
        <v>132</v>
      </c>
      <c r="C27" s="40"/>
      <c r="D27" s="40"/>
      <c r="E27" s="40"/>
      <c r="F27" s="40"/>
      <c r="G27" s="40"/>
      <c r="H27" s="40"/>
      <c r="I27" s="40"/>
      <c r="J27" s="40"/>
      <c r="K27" s="40"/>
      <c r="L27" s="40"/>
      <c r="M27" s="40"/>
    </row>
    <row r="28" spans="2:13" ht="15.6">
      <c r="B28" s="41" t="s">
        <v>133</v>
      </c>
      <c r="C28" s="40"/>
      <c r="D28" s="40"/>
      <c r="E28" s="40"/>
      <c r="F28" s="40"/>
      <c r="G28" s="40"/>
      <c r="H28" s="40"/>
      <c r="I28" s="40"/>
      <c r="J28" s="40"/>
      <c r="K28" s="40"/>
      <c r="L28" s="40"/>
      <c r="M28" s="40"/>
    </row>
    <row r="29" spans="2:13" ht="15.6">
      <c r="B29" s="41" t="s">
        <v>134</v>
      </c>
      <c r="C29" s="40"/>
      <c r="D29" s="40"/>
      <c r="E29" s="40"/>
      <c r="F29" s="40"/>
      <c r="G29" s="40"/>
      <c r="H29" s="40"/>
      <c r="I29" s="40"/>
      <c r="J29" s="40"/>
      <c r="K29" s="40"/>
      <c r="L29" s="40"/>
      <c r="M29" s="40"/>
    </row>
    <row r="30" spans="2:13" ht="15.6">
      <c r="B30" s="41" t="s">
        <v>135</v>
      </c>
      <c r="C30" s="40"/>
      <c r="D30" s="40"/>
      <c r="E30" s="40"/>
      <c r="F30" s="40"/>
      <c r="G30" s="40"/>
      <c r="H30" s="40"/>
      <c r="I30" s="40"/>
      <c r="J30" s="40"/>
      <c r="K30" s="40"/>
      <c r="L30" s="40"/>
      <c r="M30" s="40"/>
    </row>
    <row r="31" spans="2:13" ht="15.6">
      <c r="B31" s="41" t="s">
        <v>136</v>
      </c>
      <c r="C31" s="40"/>
      <c r="D31" s="40"/>
      <c r="E31" s="40"/>
      <c r="F31" s="40"/>
      <c r="G31" s="40"/>
      <c r="H31" s="40"/>
      <c r="I31" s="40"/>
      <c r="J31" s="40"/>
      <c r="K31" s="40"/>
      <c r="L31" s="40"/>
      <c r="M31" s="40"/>
    </row>
    <row r="34" spans="2:5" ht="18">
      <c r="B34" s="39" t="s">
        <v>137</v>
      </c>
      <c r="C34" s="42"/>
      <c r="D34" s="42"/>
      <c r="E34" s="42"/>
    </row>
    <row r="37" spans="2:5">
      <c r="B37" s="37" t="s">
        <v>97</v>
      </c>
      <c r="C37" s="37"/>
      <c r="E37" s="37" t="s">
        <v>138</v>
      </c>
    </row>
    <row r="38" spans="2:5">
      <c r="B38" t="s">
        <v>99</v>
      </c>
      <c r="E38" s="43">
        <v>223826</v>
      </c>
    </row>
    <row r="39" spans="2:5">
      <c r="B39" t="s">
        <v>100</v>
      </c>
      <c r="E39" s="43">
        <v>64448</v>
      </c>
    </row>
    <row r="40" spans="2:5">
      <c r="B40" t="s">
        <v>139</v>
      </c>
      <c r="E40">
        <v>202</v>
      </c>
    </row>
    <row r="41" spans="2:5">
      <c r="B41" t="s">
        <v>102</v>
      </c>
      <c r="E41">
        <v>7460.87</v>
      </c>
    </row>
    <row r="42" spans="2:5">
      <c r="B42" t="s">
        <v>103</v>
      </c>
      <c r="E42" s="44">
        <v>0.28999999999999998</v>
      </c>
    </row>
    <row r="45" spans="2:5" ht="18">
      <c r="B45" s="39" t="s">
        <v>140</v>
      </c>
    </row>
    <row r="48" spans="2:5">
      <c r="B48" s="37" t="s">
        <v>141</v>
      </c>
    </row>
    <row r="49" spans="2:2">
      <c r="B49" s="37" t="s">
        <v>142</v>
      </c>
    </row>
    <row r="50" spans="2:2">
      <c r="B50" s="37" t="s">
        <v>143</v>
      </c>
    </row>
    <row r="51" spans="2:2">
      <c r="B51" s="37" t="s">
        <v>144</v>
      </c>
    </row>
    <row r="52" spans="2:2">
      <c r="B52" s="37" t="s">
        <v>145</v>
      </c>
    </row>
    <row r="55" spans="2:2" ht="18">
      <c r="B55" s="39" t="s">
        <v>146</v>
      </c>
    </row>
    <row r="57" spans="2:2">
      <c r="B57" s="37" t="s">
        <v>147</v>
      </c>
    </row>
    <row r="58" spans="2:2">
      <c r="B58" s="37" t="s">
        <v>148</v>
      </c>
    </row>
    <row r="59" spans="2:2">
      <c r="B59" s="37" t="s">
        <v>149</v>
      </c>
    </row>
    <row r="60" spans="2:2">
      <c r="B60" s="37" t="s">
        <v>150</v>
      </c>
    </row>
    <row r="61" spans="2:2">
      <c r="B61" s="37" t="s">
        <v>151</v>
      </c>
    </row>
    <row r="62" spans="2:2">
      <c r="B62" s="37" t="s">
        <v>152</v>
      </c>
    </row>
    <row r="63" spans="2:2">
      <c r="B63" s="37" t="s">
        <v>153</v>
      </c>
    </row>
    <row r="66" spans="2:43" ht="18">
      <c r="B66" s="39" t="s">
        <v>154</v>
      </c>
    </row>
    <row r="68" spans="2:43" ht="15.6">
      <c r="B68" s="40" t="s">
        <v>155</v>
      </c>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Category Analysis</vt:lpstr>
      <vt:lpstr>Region Analysis</vt:lpstr>
      <vt:lpstr>Product Analysis</vt:lpstr>
      <vt:lpstr>Dashboard</vt:lpstr>
      <vt:lpstr>Monthly Analysis</vt:lpstr>
      <vt:lpstr>Raw Data</vt:lpstr>
      <vt:lpstr>Analysis</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aaradhya gupta</dc:creator>
  <cp:lastModifiedBy>aaradhya gupta</cp:lastModifiedBy>
  <dcterms:created xsi:type="dcterms:W3CDTF">2026-08-19T11:59:07Z</dcterms:created>
  <dcterms:modified xsi:type="dcterms:W3CDTF">2026-08-24T08:37:40Z</dcterms:modified>
</cp:coreProperties>
</file>